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ml.chartshap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Data Analytics\Data Projects\Ahmed's_best_5k_pace\"/>
    </mc:Choice>
  </mc:AlternateContent>
  <xr:revisionPtr revIDLastSave="0" documentId="13_ncr:1_{3104057B-E003-48AB-A744-013FFFB355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s (Pivot table)" sheetId="12" r:id="rId1"/>
    <sheet name="PSN" sheetId="7" r:id="rId2"/>
    <sheet name="Graphs" sheetId="9" r:id="rId3"/>
    <sheet name="Running_average_graph" sheetId="10" r:id="rId4"/>
    <sheet name="PS" sheetId="1" r:id="rId5"/>
    <sheet name="Objectives" sheetId="2" r:id="rId6"/>
    <sheet name="Monthly_Analysis" sheetId="3" r:id="rId7"/>
  </sheets>
  <definedNames>
    <definedName name="_xlnm._FilterDatabase" localSheetId="4" hidden="1">PS!$C$1:$N$349</definedName>
    <definedName name="_xlnm._FilterDatabase" localSheetId="1" hidden="1">PSN!$C$1:$E$118</definedName>
    <definedName name="vDateTime">#REF!</definedName>
    <definedName name="vDiastolic">#REF!</definedName>
    <definedName name="vHeartRate">#REF!</definedName>
    <definedName name="vSystolic">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6" i="7" l="1"/>
  <c r="I116" i="7"/>
  <c r="J116" i="7"/>
  <c r="H117" i="7"/>
  <c r="I117" i="7"/>
  <c r="J117" i="7"/>
  <c r="K117" i="7"/>
  <c r="H118" i="7"/>
  <c r="I118" i="7"/>
  <c r="L116" i="7" s="1"/>
  <c r="J118" i="7"/>
  <c r="K118" i="7"/>
  <c r="D118" i="7"/>
  <c r="E118" i="7"/>
  <c r="F118" i="7"/>
  <c r="G118" i="7"/>
  <c r="H114" i="7"/>
  <c r="I114" i="7"/>
  <c r="J114" i="7" s="1"/>
  <c r="H115" i="7"/>
  <c r="I115" i="7"/>
  <c r="J115" i="7"/>
  <c r="L114" i="7"/>
  <c r="K115" i="7"/>
  <c r="D117" i="7"/>
  <c r="E117" i="7"/>
  <c r="F117" i="7"/>
  <c r="G117" i="7"/>
  <c r="H113" i="7"/>
  <c r="I113" i="7"/>
  <c r="J113" i="7"/>
  <c r="L113" i="7"/>
  <c r="D116" i="7"/>
  <c r="E116" i="7"/>
  <c r="F116" i="7"/>
  <c r="G116" i="7"/>
  <c r="H112" i="7"/>
  <c r="I112" i="7"/>
  <c r="J112" i="7"/>
  <c r="K112" i="7"/>
  <c r="L112" i="7"/>
  <c r="D115" i="7"/>
  <c r="E115" i="7"/>
  <c r="F115" i="7"/>
  <c r="G115" i="7"/>
  <c r="D114" i="7"/>
  <c r="E114" i="7"/>
  <c r="G114" i="7" s="1"/>
  <c r="F114" i="7"/>
  <c r="D113" i="7"/>
  <c r="E113" i="7"/>
  <c r="F113" i="7"/>
  <c r="D112" i="7"/>
  <c r="E112" i="7"/>
  <c r="F112" i="7"/>
  <c r="D111" i="7"/>
  <c r="E111" i="7"/>
  <c r="I111" i="7" s="1"/>
  <c r="F111" i="7"/>
  <c r="D110" i="7"/>
  <c r="E110" i="7"/>
  <c r="F110" i="7"/>
  <c r="D109" i="7"/>
  <c r="E109" i="7"/>
  <c r="I109" i="7" s="1"/>
  <c r="F109" i="7"/>
  <c r="D108" i="7"/>
  <c r="E108" i="7"/>
  <c r="F108" i="7"/>
  <c r="D107" i="7"/>
  <c r="E107" i="7"/>
  <c r="F107" i="7"/>
  <c r="D105" i="7"/>
  <c r="D106" i="7"/>
  <c r="E105" i="7"/>
  <c r="E106" i="7"/>
  <c r="F105" i="7"/>
  <c r="F106" i="7"/>
  <c r="D104" i="7"/>
  <c r="E104" i="7"/>
  <c r="F104" i="7"/>
  <c r="F103" i="7"/>
  <c r="F102" i="7"/>
  <c r="F101" i="7"/>
  <c r="E103" i="7"/>
  <c r="E102" i="7"/>
  <c r="E101" i="7"/>
  <c r="D103" i="7"/>
  <c r="D102" i="7"/>
  <c r="D101" i="7"/>
  <c r="N2" i="1"/>
  <c r="D100" i="7"/>
  <c r="E100" i="7"/>
  <c r="F100" i="7"/>
  <c r="D99" i="7"/>
  <c r="E99" i="7"/>
  <c r="F99" i="7"/>
  <c r="D96" i="7"/>
  <c r="D97" i="7"/>
  <c r="D98" i="7"/>
  <c r="E96" i="7"/>
  <c r="E97" i="7"/>
  <c r="E98" i="7"/>
  <c r="F96" i="7"/>
  <c r="F97" i="7"/>
  <c r="F98" i="7"/>
  <c r="P93" i="1"/>
  <c r="P94" i="1"/>
  <c r="P95" i="1"/>
  <c r="P98" i="1"/>
  <c r="P97" i="1"/>
  <c r="D95" i="7"/>
  <c r="E95" i="7"/>
  <c r="F95" i="7"/>
  <c r="D94" i="7"/>
  <c r="E94" i="7"/>
  <c r="F94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I87" i="7" s="1"/>
  <c r="F86" i="7"/>
  <c r="E86" i="7"/>
  <c r="F85" i="7"/>
  <c r="E85" i="7"/>
  <c r="F84" i="7"/>
  <c r="E84" i="7"/>
  <c r="F83" i="7"/>
  <c r="E83" i="7"/>
  <c r="I83" i="7" s="1"/>
  <c r="F82" i="7"/>
  <c r="E82" i="7"/>
  <c r="F81" i="7"/>
  <c r="E81" i="7"/>
  <c r="F80" i="7"/>
  <c r="E80" i="7"/>
  <c r="F79" i="7"/>
  <c r="E79" i="7"/>
  <c r="I79" i="7" s="1"/>
  <c r="F78" i="7"/>
  <c r="E78" i="7"/>
  <c r="F77" i="7"/>
  <c r="E77" i="7"/>
  <c r="F76" i="7"/>
  <c r="E76" i="7"/>
  <c r="F75" i="7"/>
  <c r="E75" i="7"/>
  <c r="I75" i="7" s="1"/>
  <c r="F74" i="7"/>
  <c r="E74" i="7"/>
  <c r="F73" i="7"/>
  <c r="E73" i="7"/>
  <c r="F72" i="7"/>
  <c r="E72" i="7"/>
  <c r="F71" i="7"/>
  <c r="E71" i="7"/>
  <c r="I71" i="7" s="1"/>
  <c r="F70" i="7"/>
  <c r="E70" i="7"/>
  <c r="F69" i="7"/>
  <c r="E69" i="7"/>
  <c r="F68" i="7"/>
  <c r="E68" i="7"/>
  <c r="F67" i="7"/>
  <c r="E67" i="7"/>
  <c r="I67" i="7" s="1"/>
  <c r="F66" i="7"/>
  <c r="E66" i="7"/>
  <c r="F65" i="7"/>
  <c r="E65" i="7"/>
  <c r="F64" i="7"/>
  <c r="E64" i="7"/>
  <c r="F63" i="7"/>
  <c r="E63" i="7"/>
  <c r="I63" i="7" s="1"/>
  <c r="F62" i="7"/>
  <c r="E62" i="7"/>
  <c r="F61" i="7"/>
  <c r="E61" i="7"/>
  <c r="F60" i="7"/>
  <c r="E60" i="7"/>
  <c r="F59" i="7"/>
  <c r="E59" i="7"/>
  <c r="I59" i="7" s="1"/>
  <c r="F58" i="7"/>
  <c r="E58" i="7"/>
  <c r="F57" i="7"/>
  <c r="E57" i="7"/>
  <c r="F56" i="7"/>
  <c r="E56" i="7"/>
  <c r="F55" i="7"/>
  <c r="E55" i="7"/>
  <c r="I55" i="7" s="1"/>
  <c r="F54" i="7"/>
  <c r="E54" i="7"/>
  <c r="F53" i="7"/>
  <c r="E53" i="7"/>
  <c r="F52" i="7"/>
  <c r="E52" i="7"/>
  <c r="F51" i="7"/>
  <c r="E51" i="7"/>
  <c r="I51" i="7" s="1"/>
  <c r="F50" i="7"/>
  <c r="E50" i="7"/>
  <c r="F49" i="7"/>
  <c r="E49" i="7"/>
  <c r="F48" i="7"/>
  <c r="E48" i="7"/>
  <c r="F47" i="7"/>
  <c r="E47" i="7"/>
  <c r="I47" i="7" s="1"/>
  <c r="F46" i="7"/>
  <c r="E46" i="7"/>
  <c r="F45" i="7"/>
  <c r="E45" i="7"/>
  <c r="F44" i="7"/>
  <c r="E44" i="7"/>
  <c r="F43" i="7"/>
  <c r="E43" i="7"/>
  <c r="I43" i="7" s="1"/>
  <c r="F42" i="7"/>
  <c r="E42" i="7"/>
  <c r="F41" i="7"/>
  <c r="E41" i="7"/>
  <c r="F40" i="7"/>
  <c r="E40" i="7"/>
  <c r="F39" i="7"/>
  <c r="E39" i="7"/>
  <c r="I39" i="7" s="1"/>
  <c r="F38" i="7"/>
  <c r="E38" i="7"/>
  <c r="F37" i="7"/>
  <c r="E37" i="7"/>
  <c r="F36" i="7"/>
  <c r="E36" i="7"/>
  <c r="F35" i="7"/>
  <c r="E35" i="7"/>
  <c r="I35" i="7" s="1"/>
  <c r="F34" i="7"/>
  <c r="E34" i="7"/>
  <c r="F33" i="7"/>
  <c r="E33" i="7"/>
  <c r="F32" i="7"/>
  <c r="E32" i="7"/>
  <c r="F31" i="7"/>
  <c r="E31" i="7"/>
  <c r="I31" i="7" s="1"/>
  <c r="F30" i="7"/>
  <c r="E30" i="7"/>
  <c r="F29" i="7"/>
  <c r="E29" i="7"/>
  <c r="F28" i="7"/>
  <c r="E28" i="7"/>
  <c r="F27" i="7"/>
  <c r="E27" i="7"/>
  <c r="I27" i="7" s="1"/>
  <c r="F26" i="7"/>
  <c r="E26" i="7"/>
  <c r="F25" i="7"/>
  <c r="E25" i="7"/>
  <c r="F24" i="7"/>
  <c r="E24" i="7"/>
  <c r="F23" i="7"/>
  <c r="E23" i="7"/>
  <c r="I23" i="7" s="1"/>
  <c r="F22" i="7"/>
  <c r="E22" i="7"/>
  <c r="F21" i="7"/>
  <c r="E21" i="7"/>
  <c r="F20" i="7"/>
  <c r="E20" i="7"/>
  <c r="F19" i="7"/>
  <c r="E19" i="7"/>
  <c r="I19" i="7" s="1"/>
  <c r="F18" i="7"/>
  <c r="E18" i="7"/>
  <c r="F17" i="7"/>
  <c r="E17" i="7"/>
  <c r="F16" i="7"/>
  <c r="E16" i="7"/>
  <c r="F15" i="7"/>
  <c r="E15" i="7"/>
  <c r="I15" i="7" s="1"/>
  <c r="F14" i="7"/>
  <c r="E14" i="7"/>
  <c r="F13" i="7"/>
  <c r="E13" i="7"/>
  <c r="F12" i="7"/>
  <c r="E12" i="7"/>
  <c r="F11" i="7"/>
  <c r="E11" i="7"/>
  <c r="I11" i="7" s="1"/>
  <c r="F10" i="7"/>
  <c r="E10" i="7"/>
  <c r="F9" i="7"/>
  <c r="E9" i="7"/>
  <c r="F8" i="7"/>
  <c r="E8" i="7"/>
  <c r="F7" i="7"/>
  <c r="E7" i="7"/>
  <c r="I7" i="7" s="1"/>
  <c r="F6" i="7"/>
  <c r="E6" i="7"/>
  <c r="F5" i="7"/>
  <c r="E5" i="7"/>
  <c r="F4" i="7"/>
  <c r="E4" i="7"/>
  <c r="F3" i="7"/>
  <c r="E3" i="7"/>
  <c r="I3" i="7" s="1"/>
  <c r="F2" i="7"/>
  <c r="E2" i="7"/>
  <c r="P92" i="1"/>
  <c r="P96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91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I9" i="12"/>
  <c r="I4" i="12"/>
  <c r="H7" i="12"/>
  <c r="I10" i="12"/>
  <c r="H9" i="12"/>
  <c r="H5" i="12"/>
  <c r="I6" i="12"/>
  <c r="H8" i="12"/>
  <c r="H4" i="12"/>
  <c r="I7" i="12"/>
  <c r="I8" i="12"/>
  <c r="H6" i="12"/>
  <c r="H10" i="12"/>
  <c r="I5" i="12"/>
  <c r="K116" i="7" l="1"/>
  <c r="L118" i="7"/>
  <c r="L117" i="7"/>
  <c r="K114" i="7"/>
  <c r="L115" i="7"/>
  <c r="K113" i="7"/>
  <c r="G4" i="12" a="1"/>
  <c r="G4" i="12" s="1"/>
  <c r="G113" i="7"/>
  <c r="G108" i="7"/>
  <c r="G6" i="12" a="1"/>
  <c r="G6" i="12" s="1"/>
  <c r="G8" i="12" a="1"/>
  <c r="G8" i="12" s="1"/>
  <c r="K111" i="7"/>
  <c r="I107" i="7"/>
  <c r="I106" i="7"/>
  <c r="I110" i="7"/>
  <c r="G9" i="12" s="1" a="1"/>
  <c r="G9" i="12" s="1"/>
  <c r="I108" i="7"/>
  <c r="G109" i="7"/>
  <c r="G112" i="7"/>
  <c r="G110" i="7"/>
  <c r="G111" i="7"/>
  <c r="B7" i="3"/>
  <c r="G106" i="7"/>
  <c r="G107" i="7"/>
  <c r="I104" i="7"/>
  <c r="G105" i="7"/>
  <c r="I101" i="7"/>
  <c r="I102" i="7"/>
  <c r="I103" i="7"/>
  <c r="I105" i="7"/>
  <c r="G104" i="7"/>
  <c r="I91" i="7"/>
  <c r="G99" i="7"/>
  <c r="G101" i="7"/>
  <c r="G103" i="7"/>
  <c r="G102" i="7"/>
  <c r="I100" i="7"/>
  <c r="I99" i="7"/>
  <c r="G100" i="7"/>
  <c r="G98" i="7"/>
  <c r="G97" i="7"/>
  <c r="I98" i="7"/>
  <c r="G96" i="7"/>
  <c r="I97" i="7"/>
  <c r="G95" i="7"/>
  <c r="I96" i="7"/>
  <c r="I95" i="7"/>
  <c r="I94" i="7"/>
  <c r="I2" i="7"/>
  <c r="I6" i="7"/>
  <c r="I10" i="7"/>
  <c r="I14" i="7"/>
  <c r="I18" i="7"/>
  <c r="I22" i="7"/>
  <c r="I26" i="7"/>
  <c r="I30" i="7"/>
  <c r="I34" i="7"/>
  <c r="I38" i="7"/>
  <c r="I42" i="7"/>
  <c r="I46" i="7"/>
  <c r="I50" i="7"/>
  <c r="I54" i="7"/>
  <c r="I58" i="7"/>
  <c r="I62" i="7"/>
  <c r="I66" i="7"/>
  <c r="I70" i="7"/>
  <c r="I74" i="7"/>
  <c r="I78" i="7"/>
  <c r="I82" i="7"/>
  <c r="I86" i="7"/>
  <c r="G94" i="7"/>
  <c r="I4" i="7"/>
  <c r="I8" i="7"/>
  <c r="I12" i="7"/>
  <c r="I16" i="7"/>
  <c r="I20" i="7"/>
  <c r="I24" i="7"/>
  <c r="I28" i="7"/>
  <c r="G5" i="12" s="1" a="1"/>
  <c r="G5" i="12" s="1"/>
  <c r="I32" i="7"/>
  <c r="I36" i="7"/>
  <c r="I40" i="7"/>
  <c r="I44" i="7"/>
  <c r="I48" i="7"/>
  <c r="I52" i="7"/>
  <c r="I56" i="7"/>
  <c r="M4" i="7" s="1"/>
  <c r="I60" i="7"/>
  <c r="I64" i="7"/>
  <c r="I68" i="7"/>
  <c r="I72" i="7"/>
  <c r="I76" i="7"/>
  <c r="I80" i="7"/>
  <c r="G7" i="12" s="1" a="1"/>
  <c r="G7" i="12" s="1"/>
  <c r="I84" i="7"/>
  <c r="I88" i="7"/>
  <c r="I92" i="7"/>
  <c r="I90" i="7"/>
  <c r="I5" i="7"/>
  <c r="I9" i="7"/>
  <c r="G13" i="7"/>
  <c r="G17" i="7"/>
  <c r="G21" i="7"/>
  <c r="G25" i="7"/>
  <c r="G29" i="7"/>
  <c r="G33" i="7"/>
  <c r="G37" i="7"/>
  <c r="G41" i="7"/>
  <c r="G45" i="7"/>
  <c r="G49" i="7"/>
  <c r="G53" i="7"/>
  <c r="G57" i="7"/>
  <c r="G61" i="7"/>
  <c r="G65" i="7"/>
  <c r="G69" i="7"/>
  <c r="G73" i="7"/>
  <c r="G77" i="7"/>
  <c r="G81" i="7"/>
  <c r="G85" i="7"/>
  <c r="G89" i="7"/>
  <c r="G93" i="7"/>
  <c r="G2" i="7"/>
  <c r="I93" i="7"/>
  <c r="I89" i="7"/>
  <c r="I85" i="7"/>
  <c r="I81" i="7"/>
  <c r="I77" i="7"/>
  <c r="I73" i="7"/>
  <c r="I69" i="7"/>
  <c r="I65" i="7"/>
  <c r="I61" i="7"/>
  <c r="I57" i="7"/>
  <c r="I53" i="7"/>
  <c r="I49" i="7"/>
  <c r="I45" i="7"/>
  <c r="I41" i="7"/>
  <c r="I37" i="7"/>
  <c r="I33" i="7"/>
  <c r="I29" i="7"/>
  <c r="I25" i="7"/>
  <c r="I21" i="7"/>
  <c r="I17" i="7"/>
  <c r="I13" i="7"/>
  <c r="G8" i="7"/>
  <c r="G12" i="7"/>
  <c r="G16" i="7"/>
  <c r="G20" i="7"/>
  <c r="G24" i="7"/>
  <c r="G28" i="7"/>
  <c r="G32" i="7"/>
  <c r="G36" i="7"/>
  <c r="G40" i="7"/>
  <c r="G44" i="7"/>
  <c r="G48" i="7"/>
  <c r="G52" i="7"/>
  <c r="G56" i="7"/>
  <c r="G60" i="7"/>
  <c r="G64" i="7"/>
  <c r="G68" i="7"/>
  <c r="G72" i="7"/>
  <c r="G76" i="7"/>
  <c r="G80" i="7"/>
  <c r="G84" i="7"/>
  <c r="G88" i="7"/>
  <c r="G92" i="7"/>
  <c r="G3" i="7"/>
  <c r="G7" i="7"/>
  <c r="G11" i="7"/>
  <c r="G23" i="7"/>
  <c r="G31" i="7"/>
  <c r="G35" i="7"/>
  <c r="G39" i="7"/>
  <c r="G43" i="7"/>
  <c r="G47" i="7"/>
  <c r="G51" i="7"/>
  <c r="G55" i="7"/>
  <c r="G59" i="7"/>
  <c r="G63" i="7"/>
  <c r="G67" i="7"/>
  <c r="G71" i="7"/>
  <c r="G75" i="7"/>
  <c r="G79" i="7"/>
  <c r="G83" i="7"/>
  <c r="G87" i="7"/>
  <c r="G91" i="7"/>
  <c r="G15" i="7"/>
  <c r="G19" i="7"/>
  <c r="G27" i="7"/>
  <c r="G14" i="7"/>
  <c r="G18" i="7"/>
  <c r="G22" i="7"/>
  <c r="G26" i="7"/>
  <c r="G30" i="7"/>
  <c r="G34" i="7"/>
  <c r="G38" i="7"/>
  <c r="G42" i="7"/>
  <c r="G46" i="7"/>
  <c r="G50" i="7"/>
  <c r="G54" i="7"/>
  <c r="G58" i="7"/>
  <c r="G62" i="7"/>
  <c r="G66" i="7"/>
  <c r="G70" i="7"/>
  <c r="G74" i="7"/>
  <c r="G78" i="7"/>
  <c r="G82" i="7"/>
  <c r="G86" i="7"/>
  <c r="G90" i="7"/>
  <c r="G10" i="7"/>
  <c r="G6" i="7"/>
  <c r="G4" i="7"/>
  <c r="G9" i="7"/>
  <c r="G5" i="7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D99" i="1"/>
  <c r="E99" i="1"/>
  <c r="Q99" i="1" s="1"/>
  <c r="D100" i="1"/>
  <c r="E100" i="1"/>
  <c r="D101" i="1"/>
  <c r="E101" i="1"/>
  <c r="D102" i="1"/>
  <c r="E102" i="1"/>
  <c r="D103" i="1"/>
  <c r="E103" i="1"/>
  <c r="D104" i="1"/>
  <c r="E104" i="1"/>
  <c r="Q104" i="1" s="1"/>
  <c r="D105" i="1"/>
  <c r="E105" i="1"/>
  <c r="D106" i="1"/>
  <c r="E106" i="1"/>
  <c r="Q106" i="1" s="1"/>
  <c r="D107" i="1"/>
  <c r="E107" i="1"/>
  <c r="D108" i="1"/>
  <c r="E108" i="1"/>
  <c r="Q108" i="1" s="1"/>
  <c r="D109" i="1"/>
  <c r="E109" i="1"/>
  <c r="Q109" i="1" s="1"/>
  <c r="D110" i="1"/>
  <c r="E110" i="1"/>
  <c r="D111" i="1"/>
  <c r="E111" i="1"/>
  <c r="Q111" i="1" s="1"/>
  <c r="D112" i="1"/>
  <c r="E112" i="1"/>
  <c r="Q112" i="1" s="1"/>
  <c r="D113" i="1"/>
  <c r="E113" i="1"/>
  <c r="Q113" i="1" s="1"/>
  <c r="D114" i="1"/>
  <c r="E114" i="1"/>
  <c r="Q114" i="1" s="1"/>
  <c r="D115" i="1"/>
  <c r="E115" i="1"/>
  <c r="Q115" i="1" s="1"/>
  <c r="D116" i="1"/>
  <c r="E116" i="1"/>
  <c r="Q116" i="1" s="1"/>
  <c r="D117" i="1"/>
  <c r="E117" i="1"/>
  <c r="Q117" i="1" s="1"/>
  <c r="D118" i="1"/>
  <c r="E118" i="1"/>
  <c r="Q118" i="1" s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96" i="1"/>
  <c r="E96" i="1"/>
  <c r="D97" i="1"/>
  <c r="E97" i="1"/>
  <c r="Q97" i="1" s="1"/>
  <c r="D98" i="1"/>
  <c r="E9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85" i="1"/>
  <c r="E85" i="1"/>
  <c r="D86" i="1"/>
  <c r="E86" i="1"/>
  <c r="D87" i="1"/>
  <c r="E87" i="1"/>
  <c r="D88" i="1"/>
  <c r="E88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22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8" i="1"/>
  <c r="H2" i="1"/>
  <c r="E8" i="1"/>
  <c r="E9" i="1"/>
  <c r="Q9" i="1" s="1"/>
  <c r="E10" i="1"/>
  <c r="Q10" i="1" s="1"/>
  <c r="E11" i="1"/>
  <c r="Q11" i="1" s="1"/>
  <c r="E12" i="1"/>
  <c r="Q12" i="1" s="1"/>
  <c r="E13" i="1"/>
  <c r="Q13" i="1" s="1"/>
  <c r="E14" i="1"/>
  <c r="Q14" i="1" s="1"/>
  <c r="E15" i="1"/>
  <c r="Q15" i="1" s="1"/>
  <c r="E16" i="1"/>
  <c r="Q16" i="1" s="1"/>
  <c r="E17" i="1"/>
  <c r="Q17" i="1" s="1"/>
  <c r="E18" i="1"/>
  <c r="Q18" i="1" s="1"/>
  <c r="E19" i="1"/>
  <c r="Q19" i="1" s="1"/>
  <c r="E20" i="1"/>
  <c r="Q20" i="1" s="1"/>
  <c r="E21" i="1"/>
  <c r="Q21" i="1" s="1"/>
  <c r="E22" i="1"/>
  <c r="Q22" i="1" s="1"/>
  <c r="E23" i="1"/>
  <c r="E24" i="1"/>
  <c r="E25" i="1"/>
  <c r="Q25" i="1" s="1"/>
  <c r="E26" i="1"/>
  <c r="E2" i="1"/>
  <c r="I2" i="1"/>
  <c r="F2" i="1"/>
  <c r="E3" i="1"/>
  <c r="E4" i="1"/>
  <c r="E5" i="1"/>
  <c r="E6" i="1"/>
  <c r="E7" i="1"/>
  <c r="D3" i="1"/>
  <c r="D4" i="1"/>
  <c r="D5" i="1"/>
  <c r="D6" i="1"/>
  <c r="D7" i="1"/>
  <c r="D2" i="1"/>
  <c r="H111" i="7" l="1"/>
  <c r="M6" i="7"/>
  <c r="G10" i="12"/>
  <c r="J111" i="7"/>
  <c r="M2" i="7"/>
  <c r="L109" i="7"/>
  <c r="M7" i="7"/>
  <c r="M3" i="7"/>
  <c r="M5" i="7"/>
  <c r="L111" i="7"/>
  <c r="L110" i="7"/>
  <c r="L108" i="7"/>
  <c r="H107" i="7"/>
  <c r="H106" i="7"/>
  <c r="H108" i="7"/>
  <c r="H110" i="7"/>
  <c r="H109" i="7"/>
  <c r="K110" i="7"/>
  <c r="K106" i="7"/>
  <c r="K107" i="7"/>
  <c r="L106" i="7"/>
  <c r="L107" i="7"/>
  <c r="J110" i="7"/>
  <c r="J108" i="7"/>
  <c r="J106" i="7"/>
  <c r="J107" i="7"/>
  <c r="J109" i="7"/>
  <c r="K108" i="7"/>
  <c r="K109" i="7"/>
  <c r="H4" i="7"/>
  <c r="H8" i="7"/>
  <c r="H12" i="7"/>
  <c r="H16" i="7"/>
  <c r="H20" i="7"/>
  <c r="H24" i="7"/>
  <c r="H28" i="7"/>
  <c r="H32" i="7"/>
  <c r="H36" i="7"/>
  <c r="H40" i="7"/>
  <c r="H44" i="7"/>
  <c r="H48" i="7"/>
  <c r="H52" i="7"/>
  <c r="H56" i="7"/>
  <c r="H60" i="7"/>
  <c r="H64" i="7"/>
  <c r="H68" i="7"/>
  <c r="H72" i="7"/>
  <c r="H76" i="7"/>
  <c r="H80" i="7"/>
  <c r="H84" i="7"/>
  <c r="H88" i="7"/>
  <c r="H92" i="7"/>
  <c r="H96" i="7"/>
  <c r="H100" i="7"/>
  <c r="H104" i="7"/>
  <c r="H63" i="7"/>
  <c r="H91" i="7"/>
  <c r="H99" i="7"/>
  <c r="H5" i="7"/>
  <c r="H9" i="7"/>
  <c r="H13" i="7"/>
  <c r="H17" i="7"/>
  <c r="H21" i="7"/>
  <c r="H25" i="7"/>
  <c r="H29" i="7"/>
  <c r="H33" i="7"/>
  <c r="H37" i="7"/>
  <c r="H41" i="7"/>
  <c r="H45" i="7"/>
  <c r="H49" i="7"/>
  <c r="H53" i="7"/>
  <c r="H57" i="7"/>
  <c r="H61" i="7"/>
  <c r="H65" i="7"/>
  <c r="H69" i="7"/>
  <c r="H73" i="7"/>
  <c r="H77" i="7"/>
  <c r="H81" i="7"/>
  <c r="H85" i="7"/>
  <c r="H89" i="7"/>
  <c r="H93" i="7"/>
  <c r="H97" i="7"/>
  <c r="H101" i="7"/>
  <c r="H105" i="7"/>
  <c r="H3" i="7"/>
  <c r="H11" i="7"/>
  <c r="H15" i="7"/>
  <c r="H19" i="7"/>
  <c r="H23" i="7"/>
  <c r="H31" i="7"/>
  <c r="H2" i="7"/>
  <c r="H6" i="7"/>
  <c r="H10" i="7"/>
  <c r="H14" i="7"/>
  <c r="H18" i="7"/>
  <c r="H22" i="7"/>
  <c r="H26" i="7"/>
  <c r="H30" i="7"/>
  <c r="H34" i="7"/>
  <c r="H38" i="7"/>
  <c r="H42" i="7"/>
  <c r="H46" i="7"/>
  <c r="H50" i="7"/>
  <c r="H54" i="7"/>
  <c r="H58" i="7"/>
  <c r="H62" i="7"/>
  <c r="H66" i="7"/>
  <c r="H70" i="7"/>
  <c r="H74" i="7"/>
  <c r="H78" i="7"/>
  <c r="H82" i="7"/>
  <c r="H86" i="7"/>
  <c r="H90" i="7"/>
  <c r="H94" i="7"/>
  <c r="H98" i="7"/>
  <c r="H102" i="7"/>
  <c r="H7" i="7"/>
  <c r="H27" i="7"/>
  <c r="H35" i="7"/>
  <c r="H39" i="7"/>
  <c r="H43" i="7"/>
  <c r="H47" i="7"/>
  <c r="H51" i="7"/>
  <c r="H55" i="7"/>
  <c r="H59" i="7"/>
  <c r="H67" i="7"/>
  <c r="H71" i="7"/>
  <c r="H75" i="7"/>
  <c r="H79" i="7"/>
  <c r="H83" i="7"/>
  <c r="H87" i="7"/>
  <c r="H95" i="7"/>
  <c r="H103" i="7"/>
  <c r="Q110" i="1"/>
  <c r="C7" i="3"/>
  <c r="D7" i="3" s="1"/>
  <c r="K104" i="7"/>
  <c r="L105" i="7"/>
  <c r="Q107" i="1"/>
  <c r="K105" i="7"/>
  <c r="J104" i="7"/>
  <c r="J105" i="7"/>
  <c r="L104" i="7"/>
  <c r="K101" i="7"/>
  <c r="L103" i="7"/>
  <c r="J103" i="7"/>
  <c r="Q105" i="1"/>
  <c r="L100" i="7"/>
  <c r="L101" i="7"/>
  <c r="L102" i="7"/>
  <c r="K103" i="7"/>
  <c r="J102" i="7"/>
  <c r="K102" i="7"/>
  <c r="J100" i="7"/>
  <c r="J101" i="7"/>
  <c r="Q64" i="1"/>
  <c r="Q62" i="1"/>
  <c r="Q60" i="1"/>
  <c r="Q58" i="1"/>
  <c r="Q56" i="1"/>
  <c r="Q54" i="1"/>
  <c r="Q52" i="1"/>
  <c r="Q50" i="1"/>
  <c r="Q48" i="1"/>
  <c r="Q46" i="1"/>
  <c r="Q44" i="1"/>
  <c r="Q83" i="1"/>
  <c r="Q81" i="1"/>
  <c r="Q79" i="1"/>
  <c r="Q77" i="1"/>
  <c r="Q75" i="1"/>
  <c r="Q73" i="1"/>
  <c r="Q71" i="1"/>
  <c r="Q69" i="1"/>
  <c r="Q67" i="1"/>
  <c r="Q65" i="1"/>
  <c r="Q87" i="1"/>
  <c r="Q85" i="1"/>
  <c r="Q92" i="1"/>
  <c r="Q90" i="1"/>
  <c r="Q98" i="1"/>
  <c r="Q96" i="1"/>
  <c r="Q102" i="1"/>
  <c r="Q103" i="1"/>
  <c r="Q101" i="1"/>
  <c r="L64" i="7"/>
  <c r="K100" i="7"/>
  <c r="J94" i="7"/>
  <c r="J98" i="7"/>
  <c r="J95" i="7"/>
  <c r="J99" i="7"/>
  <c r="J96" i="7"/>
  <c r="J97" i="7"/>
  <c r="Q100" i="1"/>
  <c r="K74" i="7"/>
  <c r="L72" i="7"/>
  <c r="L57" i="7"/>
  <c r="K99" i="7"/>
  <c r="L99" i="7"/>
  <c r="L60" i="7"/>
  <c r="L73" i="7"/>
  <c r="L67" i="7"/>
  <c r="L76" i="7"/>
  <c r="L61" i="7"/>
  <c r="L70" i="7"/>
  <c r="L55" i="7"/>
  <c r="L71" i="7"/>
  <c r="L66" i="7"/>
  <c r="L28" i="7"/>
  <c r="L32" i="7"/>
  <c r="L36" i="7"/>
  <c r="L40" i="7"/>
  <c r="L44" i="7"/>
  <c r="L48" i="7"/>
  <c r="L52" i="7"/>
  <c r="L29" i="7"/>
  <c r="L33" i="7"/>
  <c r="L37" i="7"/>
  <c r="L41" i="7"/>
  <c r="L45" i="7"/>
  <c r="L49" i="7"/>
  <c r="L53" i="7"/>
  <c r="L30" i="7"/>
  <c r="L34" i="7"/>
  <c r="L38" i="7"/>
  <c r="L42" i="7"/>
  <c r="L46" i="7"/>
  <c r="L50" i="7"/>
  <c r="L54" i="7"/>
  <c r="L31" i="7"/>
  <c r="L35" i="7"/>
  <c r="L39" i="7"/>
  <c r="L43" i="7"/>
  <c r="L47" i="7"/>
  <c r="L51" i="7"/>
  <c r="L65" i="7"/>
  <c r="L58" i="7"/>
  <c r="L74" i="7"/>
  <c r="L59" i="7"/>
  <c r="L75" i="7"/>
  <c r="L56" i="7"/>
  <c r="L80" i="7"/>
  <c r="L84" i="7"/>
  <c r="L88" i="7"/>
  <c r="L77" i="7"/>
  <c r="L81" i="7"/>
  <c r="L85" i="7"/>
  <c r="L78" i="7"/>
  <c r="L82" i="7"/>
  <c r="L86" i="7"/>
  <c r="L79" i="7"/>
  <c r="L83" i="7"/>
  <c r="L87" i="7"/>
  <c r="K97" i="7"/>
  <c r="L92" i="7"/>
  <c r="L96" i="7"/>
  <c r="L89" i="7"/>
  <c r="L93" i="7"/>
  <c r="L97" i="7"/>
  <c r="L90" i="7"/>
  <c r="L94" i="7"/>
  <c r="L98" i="7"/>
  <c r="L91" i="7"/>
  <c r="L95" i="7"/>
  <c r="L4" i="7"/>
  <c r="L8" i="7"/>
  <c r="L12" i="7"/>
  <c r="L16" i="7"/>
  <c r="L20" i="7"/>
  <c r="L24" i="7"/>
  <c r="L5" i="7"/>
  <c r="L9" i="7"/>
  <c r="L13" i="7"/>
  <c r="L17" i="7"/>
  <c r="L21" i="7"/>
  <c r="L25" i="7"/>
  <c r="L2" i="7"/>
  <c r="L6" i="7"/>
  <c r="L10" i="7"/>
  <c r="L14" i="7"/>
  <c r="L18" i="7"/>
  <c r="L22" i="7"/>
  <c r="L26" i="7"/>
  <c r="L3" i="7"/>
  <c r="L7" i="7"/>
  <c r="L11" i="7"/>
  <c r="L15" i="7"/>
  <c r="L19" i="7"/>
  <c r="L23" i="7"/>
  <c r="L27" i="7"/>
  <c r="L68" i="7"/>
  <c r="L69" i="7"/>
  <c r="L62" i="7"/>
  <c r="L63" i="7"/>
  <c r="K98" i="7"/>
  <c r="K96" i="7"/>
  <c r="K75" i="7"/>
  <c r="K63" i="7"/>
  <c r="K67" i="7"/>
  <c r="K77" i="7"/>
  <c r="K81" i="7"/>
  <c r="K85" i="7"/>
  <c r="K88" i="7"/>
  <c r="K78" i="7"/>
  <c r="K82" i="7"/>
  <c r="K86" i="7"/>
  <c r="K80" i="7"/>
  <c r="K79" i="7"/>
  <c r="K83" i="7"/>
  <c r="K87" i="7"/>
  <c r="K84" i="7"/>
  <c r="K76" i="7"/>
  <c r="K68" i="7"/>
  <c r="K60" i="7"/>
  <c r="K69" i="7"/>
  <c r="K72" i="7"/>
  <c r="K29" i="7"/>
  <c r="K33" i="7"/>
  <c r="K37" i="7"/>
  <c r="K41" i="7"/>
  <c r="K45" i="7"/>
  <c r="K49" i="7"/>
  <c r="K53" i="7"/>
  <c r="K28" i="7"/>
  <c r="K40" i="7"/>
  <c r="K52" i="7"/>
  <c r="K30" i="7"/>
  <c r="K34" i="7"/>
  <c r="K38" i="7"/>
  <c r="K42" i="7"/>
  <c r="K46" i="7"/>
  <c r="K50" i="7"/>
  <c r="K54" i="7"/>
  <c r="K32" i="7"/>
  <c r="K44" i="7"/>
  <c r="K31" i="7"/>
  <c r="K35" i="7"/>
  <c r="K39" i="7"/>
  <c r="K43" i="7"/>
  <c r="K47" i="7"/>
  <c r="K51" i="7"/>
  <c r="K36" i="7"/>
  <c r="K48" i="7"/>
  <c r="K73" i="7"/>
  <c r="K58" i="7"/>
  <c r="K55" i="7"/>
  <c r="K71" i="7"/>
  <c r="K57" i="7"/>
  <c r="K65" i="7"/>
  <c r="K66" i="7"/>
  <c r="K70" i="7"/>
  <c r="K89" i="7"/>
  <c r="K93" i="7"/>
  <c r="K90" i="7"/>
  <c r="K94" i="7"/>
  <c r="K92" i="7"/>
  <c r="K91" i="7"/>
  <c r="K95" i="7"/>
  <c r="K5" i="7"/>
  <c r="K9" i="7"/>
  <c r="K13" i="7"/>
  <c r="K17" i="7"/>
  <c r="K21" i="7"/>
  <c r="K25" i="7"/>
  <c r="K16" i="7"/>
  <c r="K2" i="7"/>
  <c r="K6" i="7"/>
  <c r="K10" i="7"/>
  <c r="K14" i="7"/>
  <c r="K18" i="7"/>
  <c r="K22" i="7"/>
  <c r="K26" i="7"/>
  <c r="K4" i="7"/>
  <c r="K12" i="7"/>
  <c r="K24" i="7"/>
  <c r="K3" i="7"/>
  <c r="K7" i="7"/>
  <c r="K11" i="7"/>
  <c r="K15" i="7"/>
  <c r="K19" i="7"/>
  <c r="K23" i="7"/>
  <c r="K27" i="7"/>
  <c r="K8" i="7"/>
  <c r="K20" i="7"/>
  <c r="K61" i="7"/>
  <c r="K64" i="7"/>
  <c r="K62" i="7"/>
  <c r="K56" i="7"/>
  <c r="K59" i="7"/>
  <c r="J3" i="7"/>
  <c r="J7" i="7"/>
  <c r="J11" i="7"/>
  <c r="J15" i="7"/>
  <c r="J19" i="7"/>
  <c r="J23" i="7"/>
  <c r="J27" i="7"/>
  <c r="J31" i="7"/>
  <c r="J35" i="7"/>
  <c r="J39" i="7"/>
  <c r="J43" i="7"/>
  <c r="J47" i="7"/>
  <c r="J51" i="7"/>
  <c r="J55" i="7"/>
  <c r="J59" i="7"/>
  <c r="J63" i="7"/>
  <c r="J67" i="7"/>
  <c r="J71" i="7"/>
  <c r="J75" i="7"/>
  <c r="J79" i="7"/>
  <c r="J83" i="7"/>
  <c r="J87" i="7"/>
  <c r="J91" i="7"/>
  <c r="J6" i="7"/>
  <c r="J14" i="7"/>
  <c r="J22" i="7"/>
  <c r="J30" i="7"/>
  <c r="J38" i="7"/>
  <c r="J46" i="7"/>
  <c r="J58" i="7"/>
  <c r="J66" i="7"/>
  <c r="J74" i="7"/>
  <c r="J82" i="7"/>
  <c r="J90" i="7"/>
  <c r="J4" i="7"/>
  <c r="J8" i="7"/>
  <c r="J12" i="7"/>
  <c r="J16" i="7"/>
  <c r="J20" i="7"/>
  <c r="J24" i="7"/>
  <c r="J28" i="7"/>
  <c r="J32" i="7"/>
  <c r="J36" i="7"/>
  <c r="J40" i="7"/>
  <c r="J44" i="7"/>
  <c r="J48" i="7"/>
  <c r="J52" i="7"/>
  <c r="J56" i="7"/>
  <c r="J60" i="7"/>
  <c r="J64" i="7"/>
  <c r="J68" i="7"/>
  <c r="J72" i="7"/>
  <c r="J76" i="7"/>
  <c r="J80" i="7"/>
  <c r="J84" i="7"/>
  <c r="J88" i="7"/>
  <c r="J92" i="7"/>
  <c r="J5" i="7"/>
  <c r="J9" i="7"/>
  <c r="J13" i="7"/>
  <c r="J17" i="7"/>
  <c r="J21" i="7"/>
  <c r="J25" i="7"/>
  <c r="J29" i="7"/>
  <c r="J33" i="7"/>
  <c r="J37" i="7"/>
  <c r="J41" i="7"/>
  <c r="J45" i="7"/>
  <c r="J49" i="7"/>
  <c r="J53" i="7"/>
  <c r="J57" i="7"/>
  <c r="J61" i="7"/>
  <c r="J65" i="7"/>
  <c r="J69" i="7"/>
  <c r="J73" i="7"/>
  <c r="J77" i="7"/>
  <c r="J81" i="7"/>
  <c r="J85" i="7"/>
  <c r="J89" i="7"/>
  <c r="J93" i="7"/>
  <c r="J2" i="7"/>
  <c r="J10" i="7"/>
  <c r="J18" i="7"/>
  <c r="J26" i="7"/>
  <c r="J34" i="7"/>
  <c r="J42" i="7"/>
  <c r="J50" i="7"/>
  <c r="J54" i="7"/>
  <c r="J62" i="7"/>
  <c r="J70" i="7"/>
  <c r="J78" i="7"/>
  <c r="J86" i="7"/>
  <c r="Q93" i="1"/>
  <c r="Q95" i="1"/>
  <c r="Q94" i="1"/>
  <c r="Q7" i="1"/>
  <c r="Q3" i="1"/>
  <c r="Q4" i="1"/>
  <c r="Q2" i="1"/>
  <c r="Q26" i="1"/>
  <c r="Q42" i="1"/>
  <c r="Q40" i="1"/>
  <c r="Q38" i="1"/>
  <c r="Q36" i="1"/>
  <c r="Q34" i="1"/>
  <c r="Q32" i="1"/>
  <c r="Q30" i="1"/>
  <c r="Q28" i="1"/>
  <c r="Q6" i="1"/>
  <c r="Q5" i="1"/>
  <c r="Q24" i="1"/>
  <c r="Q8" i="1"/>
  <c r="Q43" i="1"/>
  <c r="Q41" i="1"/>
  <c r="Q39" i="1"/>
  <c r="Q37" i="1"/>
  <c r="Q35" i="1"/>
  <c r="Q33" i="1"/>
  <c r="Q31" i="1"/>
  <c r="Q29" i="1"/>
  <c r="Q27" i="1"/>
  <c r="Q23" i="1"/>
  <c r="Q63" i="1"/>
  <c r="Q61" i="1"/>
  <c r="Q59" i="1"/>
  <c r="Q57" i="1"/>
  <c r="Q55" i="1"/>
  <c r="Q53" i="1"/>
  <c r="Q51" i="1"/>
  <c r="Q49" i="1"/>
  <c r="Q47" i="1"/>
  <c r="Q45" i="1"/>
  <c r="Q84" i="1"/>
  <c r="Q82" i="1"/>
  <c r="Q80" i="1"/>
  <c r="Q78" i="1"/>
  <c r="Q76" i="1"/>
  <c r="Q74" i="1"/>
  <c r="Q72" i="1"/>
  <c r="Q70" i="1"/>
  <c r="Q68" i="1"/>
  <c r="Q66" i="1"/>
  <c r="Q88" i="1"/>
  <c r="Q86" i="1"/>
  <c r="Q89" i="1"/>
  <c r="Q91" i="1"/>
  <c r="B6" i="3"/>
  <c r="C6" i="3" s="1"/>
  <c r="D6" i="3" s="1"/>
  <c r="F64" i="1"/>
  <c r="G64" i="1" s="1"/>
  <c r="H64" i="1" s="1"/>
  <c r="F84" i="1"/>
  <c r="G84" i="1" s="1"/>
  <c r="H84" i="1" s="1"/>
  <c r="F98" i="1"/>
  <c r="I98" i="1"/>
  <c r="F95" i="1"/>
  <c r="I95" i="1"/>
  <c r="F88" i="1"/>
  <c r="I88" i="1"/>
  <c r="I96" i="1"/>
  <c r="I89" i="1"/>
  <c r="F102" i="1"/>
  <c r="G102" i="1" s="1"/>
  <c r="H102" i="1" s="1"/>
  <c r="F106" i="1"/>
  <c r="G106" i="1" s="1"/>
  <c r="H106" i="1" s="1"/>
  <c r="F110" i="1"/>
  <c r="G110" i="1" s="1"/>
  <c r="H110" i="1" s="1"/>
  <c r="F114" i="1"/>
  <c r="G114" i="1" s="1"/>
  <c r="H114" i="1" s="1"/>
  <c r="F118" i="1"/>
  <c r="G118" i="1" s="1"/>
  <c r="H118" i="1" s="1"/>
  <c r="F122" i="1"/>
  <c r="G122" i="1" s="1"/>
  <c r="H122" i="1" s="1"/>
  <c r="F126" i="1"/>
  <c r="G126" i="1" s="1"/>
  <c r="H126" i="1" s="1"/>
  <c r="F130" i="1"/>
  <c r="G130" i="1" s="1"/>
  <c r="H130" i="1" s="1"/>
  <c r="F134" i="1"/>
  <c r="G134" i="1" s="1"/>
  <c r="H134" i="1" s="1"/>
  <c r="F138" i="1"/>
  <c r="G138" i="1" s="1"/>
  <c r="H138" i="1" s="1"/>
  <c r="F142" i="1"/>
  <c r="G142" i="1" s="1"/>
  <c r="H142" i="1" s="1"/>
  <c r="F146" i="1"/>
  <c r="G146" i="1" s="1"/>
  <c r="H146" i="1" s="1"/>
  <c r="F150" i="1"/>
  <c r="G150" i="1" s="1"/>
  <c r="H150" i="1" s="1"/>
  <c r="F154" i="1"/>
  <c r="G154" i="1" s="1"/>
  <c r="H154" i="1" s="1"/>
  <c r="F158" i="1"/>
  <c r="G158" i="1" s="1"/>
  <c r="H158" i="1" s="1"/>
  <c r="F162" i="1"/>
  <c r="G162" i="1" s="1"/>
  <c r="H162" i="1" s="1"/>
  <c r="F166" i="1"/>
  <c r="G166" i="1" s="1"/>
  <c r="H166" i="1" s="1"/>
  <c r="F170" i="1"/>
  <c r="G170" i="1" s="1"/>
  <c r="H170" i="1" s="1"/>
  <c r="F174" i="1"/>
  <c r="G174" i="1" s="1"/>
  <c r="H174" i="1" s="1"/>
  <c r="F178" i="1"/>
  <c r="G178" i="1" s="1"/>
  <c r="H178" i="1" s="1"/>
  <c r="F182" i="1"/>
  <c r="G182" i="1" s="1"/>
  <c r="H182" i="1" s="1"/>
  <c r="F186" i="1"/>
  <c r="G186" i="1" s="1"/>
  <c r="H186" i="1" s="1"/>
  <c r="F190" i="1"/>
  <c r="G190" i="1" s="1"/>
  <c r="H190" i="1" s="1"/>
  <c r="F194" i="1"/>
  <c r="G194" i="1" s="1"/>
  <c r="H194" i="1" s="1"/>
  <c r="F198" i="1"/>
  <c r="G198" i="1" s="1"/>
  <c r="H198" i="1" s="1"/>
  <c r="F202" i="1"/>
  <c r="G202" i="1" s="1"/>
  <c r="H202" i="1" s="1"/>
  <c r="F206" i="1"/>
  <c r="G206" i="1" s="1"/>
  <c r="H206" i="1" s="1"/>
  <c r="F210" i="1"/>
  <c r="G210" i="1" s="1"/>
  <c r="H210" i="1" s="1"/>
  <c r="F214" i="1"/>
  <c r="G214" i="1" s="1"/>
  <c r="H214" i="1" s="1"/>
  <c r="F218" i="1"/>
  <c r="G218" i="1" s="1"/>
  <c r="H218" i="1" s="1"/>
  <c r="F222" i="1"/>
  <c r="G222" i="1" s="1"/>
  <c r="H222" i="1" s="1"/>
  <c r="F226" i="1"/>
  <c r="G226" i="1" s="1"/>
  <c r="H226" i="1" s="1"/>
  <c r="F230" i="1"/>
  <c r="G230" i="1" s="1"/>
  <c r="H230" i="1" s="1"/>
  <c r="F234" i="1"/>
  <c r="G234" i="1" s="1"/>
  <c r="H234" i="1" s="1"/>
  <c r="F238" i="1"/>
  <c r="G238" i="1" s="1"/>
  <c r="H238" i="1" s="1"/>
  <c r="F242" i="1"/>
  <c r="G242" i="1" s="1"/>
  <c r="H242" i="1" s="1"/>
  <c r="F246" i="1"/>
  <c r="G246" i="1" s="1"/>
  <c r="H246" i="1" s="1"/>
  <c r="F250" i="1"/>
  <c r="G250" i="1" s="1"/>
  <c r="H250" i="1" s="1"/>
  <c r="F254" i="1"/>
  <c r="G254" i="1" s="1"/>
  <c r="H254" i="1" s="1"/>
  <c r="F258" i="1"/>
  <c r="G258" i="1" s="1"/>
  <c r="H258" i="1" s="1"/>
  <c r="F262" i="1"/>
  <c r="G262" i="1" s="1"/>
  <c r="H262" i="1" s="1"/>
  <c r="F266" i="1"/>
  <c r="G266" i="1" s="1"/>
  <c r="H266" i="1" s="1"/>
  <c r="F270" i="1"/>
  <c r="G270" i="1" s="1"/>
  <c r="H270" i="1" s="1"/>
  <c r="F274" i="1"/>
  <c r="G274" i="1" s="1"/>
  <c r="H274" i="1" s="1"/>
  <c r="F278" i="1"/>
  <c r="G278" i="1" s="1"/>
  <c r="H278" i="1" s="1"/>
  <c r="F282" i="1"/>
  <c r="G282" i="1" s="1"/>
  <c r="H282" i="1" s="1"/>
  <c r="F286" i="1"/>
  <c r="G286" i="1" s="1"/>
  <c r="H286" i="1" s="1"/>
  <c r="F290" i="1"/>
  <c r="G290" i="1" s="1"/>
  <c r="H290" i="1" s="1"/>
  <c r="F294" i="1"/>
  <c r="G294" i="1" s="1"/>
  <c r="H294" i="1" s="1"/>
  <c r="F298" i="1"/>
  <c r="G298" i="1" s="1"/>
  <c r="H298" i="1" s="1"/>
  <c r="F302" i="1"/>
  <c r="G302" i="1" s="1"/>
  <c r="H302" i="1" s="1"/>
  <c r="F306" i="1"/>
  <c r="G306" i="1" s="1"/>
  <c r="H306" i="1" s="1"/>
  <c r="F310" i="1"/>
  <c r="G310" i="1" s="1"/>
  <c r="H310" i="1" s="1"/>
  <c r="F314" i="1"/>
  <c r="G314" i="1" s="1"/>
  <c r="H314" i="1" s="1"/>
  <c r="F318" i="1"/>
  <c r="G318" i="1" s="1"/>
  <c r="H318" i="1" s="1"/>
  <c r="F322" i="1"/>
  <c r="G322" i="1" s="1"/>
  <c r="H322" i="1" s="1"/>
  <c r="F326" i="1"/>
  <c r="G326" i="1" s="1"/>
  <c r="H326" i="1" s="1"/>
  <c r="F330" i="1"/>
  <c r="G330" i="1" s="1"/>
  <c r="H330" i="1" s="1"/>
  <c r="F334" i="1"/>
  <c r="G334" i="1" s="1"/>
  <c r="H334" i="1" s="1"/>
  <c r="F99" i="1"/>
  <c r="G99" i="1" s="1"/>
  <c r="H99" i="1" s="1"/>
  <c r="F103" i="1"/>
  <c r="G103" i="1" s="1"/>
  <c r="H103" i="1" s="1"/>
  <c r="F107" i="1"/>
  <c r="G107" i="1" s="1"/>
  <c r="H107" i="1" s="1"/>
  <c r="F111" i="1"/>
  <c r="G111" i="1" s="1"/>
  <c r="H111" i="1" s="1"/>
  <c r="F115" i="1"/>
  <c r="G115" i="1" s="1"/>
  <c r="H115" i="1" s="1"/>
  <c r="F119" i="1"/>
  <c r="G119" i="1" s="1"/>
  <c r="H119" i="1" s="1"/>
  <c r="F123" i="1"/>
  <c r="G123" i="1" s="1"/>
  <c r="H123" i="1" s="1"/>
  <c r="F127" i="1"/>
  <c r="G127" i="1" s="1"/>
  <c r="H127" i="1" s="1"/>
  <c r="F131" i="1"/>
  <c r="G131" i="1" s="1"/>
  <c r="H131" i="1" s="1"/>
  <c r="F135" i="1"/>
  <c r="G135" i="1" s="1"/>
  <c r="H135" i="1" s="1"/>
  <c r="F139" i="1"/>
  <c r="G139" i="1" s="1"/>
  <c r="H139" i="1" s="1"/>
  <c r="F143" i="1"/>
  <c r="G143" i="1" s="1"/>
  <c r="H143" i="1" s="1"/>
  <c r="F147" i="1"/>
  <c r="G147" i="1" s="1"/>
  <c r="H147" i="1" s="1"/>
  <c r="F151" i="1"/>
  <c r="G151" i="1" s="1"/>
  <c r="H151" i="1" s="1"/>
  <c r="F155" i="1"/>
  <c r="G155" i="1" s="1"/>
  <c r="H155" i="1" s="1"/>
  <c r="F159" i="1"/>
  <c r="G159" i="1" s="1"/>
  <c r="H159" i="1" s="1"/>
  <c r="F163" i="1"/>
  <c r="G163" i="1" s="1"/>
  <c r="H163" i="1" s="1"/>
  <c r="F167" i="1"/>
  <c r="G167" i="1" s="1"/>
  <c r="H167" i="1" s="1"/>
  <c r="F171" i="1"/>
  <c r="G171" i="1" s="1"/>
  <c r="H171" i="1" s="1"/>
  <c r="F175" i="1"/>
  <c r="G175" i="1" s="1"/>
  <c r="H175" i="1" s="1"/>
  <c r="F179" i="1"/>
  <c r="G179" i="1" s="1"/>
  <c r="H179" i="1" s="1"/>
  <c r="F183" i="1"/>
  <c r="G183" i="1" s="1"/>
  <c r="H183" i="1" s="1"/>
  <c r="F187" i="1"/>
  <c r="G187" i="1" s="1"/>
  <c r="H187" i="1" s="1"/>
  <c r="F191" i="1"/>
  <c r="G191" i="1" s="1"/>
  <c r="H191" i="1" s="1"/>
  <c r="F195" i="1"/>
  <c r="G195" i="1" s="1"/>
  <c r="H195" i="1" s="1"/>
  <c r="F199" i="1"/>
  <c r="G199" i="1" s="1"/>
  <c r="H199" i="1" s="1"/>
  <c r="F203" i="1"/>
  <c r="G203" i="1" s="1"/>
  <c r="H203" i="1" s="1"/>
  <c r="F207" i="1"/>
  <c r="G207" i="1" s="1"/>
  <c r="H207" i="1" s="1"/>
  <c r="F211" i="1"/>
  <c r="G211" i="1" s="1"/>
  <c r="H211" i="1" s="1"/>
  <c r="F215" i="1"/>
  <c r="G215" i="1" s="1"/>
  <c r="H215" i="1" s="1"/>
  <c r="F219" i="1"/>
  <c r="G219" i="1" s="1"/>
  <c r="H219" i="1" s="1"/>
  <c r="F223" i="1"/>
  <c r="G223" i="1" s="1"/>
  <c r="H223" i="1" s="1"/>
  <c r="F227" i="1"/>
  <c r="G227" i="1" s="1"/>
  <c r="H227" i="1" s="1"/>
  <c r="F231" i="1"/>
  <c r="G231" i="1" s="1"/>
  <c r="H231" i="1" s="1"/>
  <c r="F235" i="1"/>
  <c r="G235" i="1" s="1"/>
  <c r="H235" i="1" s="1"/>
  <c r="F239" i="1"/>
  <c r="G239" i="1" s="1"/>
  <c r="H239" i="1" s="1"/>
  <c r="F243" i="1"/>
  <c r="G243" i="1" s="1"/>
  <c r="H243" i="1" s="1"/>
  <c r="F247" i="1"/>
  <c r="G247" i="1" s="1"/>
  <c r="H247" i="1" s="1"/>
  <c r="F251" i="1"/>
  <c r="G251" i="1" s="1"/>
  <c r="H251" i="1" s="1"/>
  <c r="F255" i="1"/>
  <c r="G255" i="1" s="1"/>
  <c r="H255" i="1" s="1"/>
  <c r="F259" i="1"/>
  <c r="G259" i="1" s="1"/>
  <c r="H259" i="1" s="1"/>
  <c r="F263" i="1"/>
  <c r="G263" i="1" s="1"/>
  <c r="H263" i="1" s="1"/>
  <c r="F267" i="1"/>
  <c r="G267" i="1" s="1"/>
  <c r="H267" i="1" s="1"/>
  <c r="F271" i="1"/>
  <c r="G271" i="1" s="1"/>
  <c r="H271" i="1" s="1"/>
  <c r="F275" i="1"/>
  <c r="G275" i="1" s="1"/>
  <c r="H275" i="1" s="1"/>
  <c r="F279" i="1"/>
  <c r="G279" i="1" s="1"/>
  <c r="H279" i="1" s="1"/>
  <c r="F283" i="1"/>
  <c r="G283" i="1" s="1"/>
  <c r="H283" i="1" s="1"/>
  <c r="F287" i="1"/>
  <c r="G287" i="1" s="1"/>
  <c r="H287" i="1" s="1"/>
  <c r="F291" i="1"/>
  <c r="G291" i="1" s="1"/>
  <c r="H291" i="1" s="1"/>
  <c r="F295" i="1"/>
  <c r="G295" i="1" s="1"/>
  <c r="H295" i="1" s="1"/>
  <c r="F299" i="1"/>
  <c r="G299" i="1" s="1"/>
  <c r="H299" i="1" s="1"/>
  <c r="F303" i="1"/>
  <c r="G303" i="1" s="1"/>
  <c r="H303" i="1" s="1"/>
  <c r="F307" i="1"/>
  <c r="G307" i="1" s="1"/>
  <c r="H307" i="1" s="1"/>
  <c r="F311" i="1"/>
  <c r="G311" i="1" s="1"/>
  <c r="H311" i="1" s="1"/>
  <c r="F315" i="1"/>
  <c r="G315" i="1" s="1"/>
  <c r="H315" i="1" s="1"/>
  <c r="F319" i="1"/>
  <c r="G319" i="1" s="1"/>
  <c r="H319" i="1" s="1"/>
  <c r="F323" i="1"/>
  <c r="G323" i="1" s="1"/>
  <c r="H323" i="1" s="1"/>
  <c r="F327" i="1"/>
  <c r="G327" i="1" s="1"/>
  <c r="H327" i="1" s="1"/>
  <c r="F331" i="1"/>
  <c r="G331" i="1" s="1"/>
  <c r="H331" i="1" s="1"/>
  <c r="F335" i="1"/>
  <c r="G335" i="1" s="1"/>
  <c r="H335" i="1" s="1"/>
  <c r="F339" i="1"/>
  <c r="G339" i="1" s="1"/>
  <c r="H339" i="1" s="1"/>
  <c r="F343" i="1"/>
  <c r="G343" i="1" s="1"/>
  <c r="H343" i="1" s="1"/>
  <c r="F347" i="1"/>
  <c r="G347" i="1" s="1"/>
  <c r="H347" i="1" s="1"/>
  <c r="F100" i="1"/>
  <c r="G100" i="1" s="1"/>
  <c r="H100" i="1" s="1"/>
  <c r="F104" i="1"/>
  <c r="G104" i="1" s="1"/>
  <c r="H104" i="1" s="1"/>
  <c r="F108" i="1"/>
  <c r="G108" i="1" s="1"/>
  <c r="H108" i="1" s="1"/>
  <c r="F112" i="1"/>
  <c r="G112" i="1" s="1"/>
  <c r="H112" i="1" s="1"/>
  <c r="F116" i="1"/>
  <c r="G116" i="1" s="1"/>
  <c r="H116" i="1" s="1"/>
  <c r="F120" i="1"/>
  <c r="G120" i="1" s="1"/>
  <c r="H120" i="1" s="1"/>
  <c r="F124" i="1"/>
  <c r="G124" i="1" s="1"/>
  <c r="H124" i="1" s="1"/>
  <c r="F128" i="1"/>
  <c r="G128" i="1" s="1"/>
  <c r="H128" i="1" s="1"/>
  <c r="F132" i="1"/>
  <c r="G132" i="1" s="1"/>
  <c r="H132" i="1" s="1"/>
  <c r="F136" i="1"/>
  <c r="G136" i="1" s="1"/>
  <c r="H136" i="1" s="1"/>
  <c r="F140" i="1"/>
  <c r="G140" i="1" s="1"/>
  <c r="H140" i="1" s="1"/>
  <c r="F144" i="1"/>
  <c r="G144" i="1" s="1"/>
  <c r="H144" i="1" s="1"/>
  <c r="F148" i="1"/>
  <c r="G148" i="1" s="1"/>
  <c r="H148" i="1" s="1"/>
  <c r="F152" i="1"/>
  <c r="G152" i="1" s="1"/>
  <c r="H152" i="1" s="1"/>
  <c r="F156" i="1"/>
  <c r="G156" i="1" s="1"/>
  <c r="H156" i="1" s="1"/>
  <c r="F160" i="1"/>
  <c r="G160" i="1" s="1"/>
  <c r="H160" i="1" s="1"/>
  <c r="F164" i="1"/>
  <c r="G164" i="1" s="1"/>
  <c r="H164" i="1" s="1"/>
  <c r="F168" i="1"/>
  <c r="G168" i="1" s="1"/>
  <c r="H168" i="1" s="1"/>
  <c r="F172" i="1"/>
  <c r="G172" i="1" s="1"/>
  <c r="H172" i="1" s="1"/>
  <c r="F176" i="1"/>
  <c r="G176" i="1" s="1"/>
  <c r="H176" i="1" s="1"/>
  <c r="F180" i="1"/>
  <c r="G180" i="1" s="1"/>
  <c r="H180" i="1" s="1"/>
  <c r="F184" i="1"/>
  <c r="G184" i="1" s="1"/>
  <c r="H184" i="1" s="1"/>
  <c r="F188" i="1"/>
  <c r="G188" i="1" s="1"/>
  <c r="H188" i="1" s="1"/>
  <c r="F192" i="1"/>
  <c r="G192" i="1" s="1"/>
  <c r="H192" i="1" s="1"/>
  <c r="F196" i="1"/>
  <c r="G196" i="1" s="1"/>
  <c r="H196" i="1" s="1"/>
  <c r="F200" i="1"/>
  <c r="G200" i="1" s="1"/>
  <c r="H200" i="1" s="1"/>
  <c r="F204" i="1"/>
  <c r="G204" i="1" s="1"/>
  <c r="H204" i="1" s="1"/>
  <c r="F208" i="1"/>
  <c r="G208" i="1" s="1"/>
  <c r="H208" i="1" s="1"/>
  <c r="F212" i="1"/>
  <c r="G212" i="1" s="1"/>
  <c r="H212" i="1" s="1"/>
  <c r="F216" i="1"/>
  <c r="G216" i="1" s="1"/>
  <c r="H216" i="1" s="1"/>
  <c r="F220" i="1"/>
  <c r="G220" i="1" s="1"/>
  <c r="H220" i="1" s="1"/>
  <c r="F224" i="1"/>
  <c r="G224" i="1" s="1"/>
  <c r="H224" i="1" s="1"/>
  <c r="F228" i="1"/>
  <c r="G228" i="1" s="1"/>
  <c r="H228" i="1" s="1"/>
  <c r="F232" i="1"/>
  <c r="G232" i="1" s="1"/>
  <c r="H232" i="1" s="1"/>
  <c r="F236" i="1"/>
  <c r="G236" i="1" s="1"/>
  <c r="H236" i="1" s="1"/>
  <c r="F240" i="1"/>
  <c r="G240" i="1" s="1"/>
  <c r="H240" i="1" s="1"/>
  <c r="F244" i="1"/>
  <c r="G244" i="1" s="1"/>
  <c r="H244" i="1" s="1"/>
  <c r="F248" i="1"/>
  <c r="G248" i="1" s="1"/>
  <c r="H248" i="1" s="1"/>
  <c r="F252" i="1"/>
  <c r="G252" i="1" s="1"/>
  <c r="H252" i="1" s="1"/>
  <c r="F256" i="1"/>
  <c r="G256" i="1" s="1"/>
  <c r="H256" i="1" s="1"/>
  <c r="F260" i="1"/>
  <c r="G260" i="1" s="1"/>
  <c r="H260" i="1" s="1"/>
  <c r="F264" i="1"/>
  <c r="G264" i="1" s="1"/>
  <c r="H264" i="1" s="1"/>
  <c r="F268" i="1"/>
  <c r="G268" i="1" s="1"/>
  <c r="H268" i="1" s="1"/>
  <c r="F272" i="1"/>
  <c r="G272" i="1" s="1"/>
  <c r="H272" i="1" s="1"/>
  <c r="F276" i="1"/>
  <c r="G276" i="1" s="1"/>
  <c r="H276" i="1" s="1"/>
  <c r="F280" i="1"/>
  <c r="G280" i="1" s="1"/>
  <c r="H280" i="1" s="1"/>
  <c r="F284" i="1"/>
  <c r="G284" i="1" s="1"/>
  <c r="H284" i="1" s="1"/>
  <c r="F288" i="1"/>
  <c r="G288" i="1" s="1"/>
  <c r="H288" i="1" s="1"/>
  <c r="F292" i="1"/>
  <c r="G292" i="1" s="1"/>
  <c r="H292" i="1" s="1"/>
  <c r="F296" i="1"/>
  <c r="G296" i="1" s="1"/>
  <c r="H296" i="1" s="1"/>
  <c r="F300" i="1"/>
  <c r="G300" i="1" s="1"/>
  <c r="H300" i="1" s="1"/>
  <c r="F304" i="1"/>
  <c r="G304" i="1" s="1"/>
  <c r="H304" i="1" s="1"/>
  <c r="F308" i="1"/>
  <c r="G308" i="1" s="1"/>
  <c r="H308" i="1" s="1"/>
  <c r="F312" i="1"/>
  <c r="G312" i="1" s="1"/>
  <c r="H312" i="1" s="1"/>
  <c r="F316" i="1"/>
  <c r="G316" i="1" s="1"/>
  <c r="H316" i="1" s="1"/>
  <c r="F320" i="1"/>
  <c r="G320" i="1" s="1"/>
  <c r="H320" i="1" s="1"/>
  <c r="F324" i="1"/>
  <c r="G324" i="1" s="1"/>
  <c r="H324" i="1" s="1"/>
  <c r="F328" i="1"/>
  <c r="G328" i="1" s="1"/>
  <c r="H328" i="1" s="1"/>
  <c r="F332" i="1"/>
  <c r="G332" i="1" s="1"/>
  <c r="H332" i="1" s="1"/>
  <c r="F336" i="1"/>
  <c r="G336" i="1" s="1"/>
  <c r="H336" i="1" s="1"/>
  <c r="F340" i="1"/>
  <c r="G340" i="1" s="1"/>
  <c r="H340" i="1" s="1"/>
  <c r="F344" i="1"/>
  <c r="G344" i="1" s="1"/>
  <c r="H344" i="1" s="1"/>
  <c r="F348" i="1"/>
  <c r="G348" i="1" s="1"/>
  <c r="H348" i="1" s="1"/>
  <c r="F105" i="1"/>
  <c r="G105" i="1" s="1"/>
  <c r="H105" i="1" s="1"/>
  <c r="F121" i="1"/>
  <c r="G121" i="1" s="1"/>
  <c r="H121" i="1" s="1"/>
  <c r="F137" i="1"/>
  <c r="G137" i="1" s="1"/>
  <c r="H137" i="1" s="1"/>
  <c r="F153" i="1"/>
  <c r="G153" i="1" s="1"/>
  <c r="H153" i="1" s="1"/>
  <c r="F169" i="1"/>
  <c r="G169" i="1" s="1"/>
  <c r="H169" i="1" s="1"/>
  <c r="F185" i="1"/>
  <c r="G185" i="1" s="1"/>
  <c r="H185" i="1" s="1"/>
  <c r="F201" i="1"/>
  <c r="G201" i="1" s="1"/>
  <c r="H201" i="1" s="1"/>
  <c r="F217" i="1"/>
  <c r="G217" i="1" s="1"/>
  <c r="H217" i="1" s="1"/>
  <c r="F233" i="1"/>
  <c r="G233" i="1" s="1"/>
  <c r="H233" i="1" s="1"/>
  <c r="F109" i="1"/>
  <c r="G109" i="1" s="1"/>
  <c r="H109" i="1" s="1"/>
  <c r="F125" i="1"/>
  <c r="G125" i="1" s="1"/>
  <c r="H125" i="1" s="1"/>
  <c r="F141" i="1"/>
  <c r="G141" i="1" s="1"/>
  <c r="H141" i="1" s="1"/>
  <c r="F157" i="1"/>
  <c r="G157" i="1" s="1"/>
  <c r="H157" i="1" s="1"/>
  <c r="F173" i="1"/>
  <c r="G173" i="1" s="1"/>
  <c r="H173" i="1" s="1"/>
  <c r="F189" i="1"/>
  <c r="G189" i="1" s="1"/>
  <c r="H189" i="1" s="1"/>
  <c r="F205" i="1"/>
  <c r="G205" i="1" s="1"/>
  <c r="H205" i="1" s="1"/>
  <c r="F221" i="1"/>
  <c r="G221" i="1" s="1"/>
  <c r="H221" i="1" s="1"/>
  <c r="F237" i="1"/>
  <c r="G237" i="1" s="1"/>
  <c r="H237" i="1" s="1"/>
  <c r="F253" i="1"/>
  <c r="G253" i="1" s="1"/>
  <c r="H253" i="1" s="1"/>
  <c r="F269" i="1"/>
  <c r="G269" i="1" s="1"/>
  <c r="H269" i="1" s="1"/>
  <c r="F285" i="1"/>
  <c r="G285" i="1" s="1"/>
  <c r="H285" i="1" s="1"/>
  <c r="F301" i="1"/>
  <c r="G301" i="1" s="1"/>
  <c r="H301" i="1" s="1"/>
  <c r="F317" i="1"/>
  <c r="G317" i="1" s="1"/>
  <c r="H317" i="1" s="1"/>
  <c r="F333" i="1"/>
  <c r="G333" i="1" s="1"/>
  <c r="H333" i="1" s="1"/>
  <c r="F342" i="1"/>
  <c r="G342" i="1" s="1"/>
  <c r="H342" i="1" s="1"/>
  <c r="F113" i="1"/>
  <c r="G113" i="1" s="1"/>
  <c r="H113" i="1" s="1"/>
  <c r="F129" i="1"/>
  <c r="G129" i="1" s="1"/>
  <c r="H129" i="1" s="1"/>
  <c r="F145" i="1"/>
  <c r="G145" i="1" s="1"/>
  <c r="H145" i="1" s="1"/>
  <c r="F161" i="1"/>
  <c r="G161" i="1" s="1"/>
  <c r="H161" i="1" s="1"/>
  <c r="F177" i="1"/>
  <c r="G177" i="1" s="1"/>
  <c r="H177" i="1" s="1"/>
  <c r="F193" i="1"/>
  <c r="G193" i="1" s="1"/>
  <c r="H193" i="1" s="1"/>
  <c r="F209" i="1"/>
  <c r="G209" i="1" s="1"/>
  <c r="H209" i="1" s="1"/>
  <c r="F225" i="1"/>
  <c r="G225" i="1" s="1"/>
  <c r="H225" i="1" s="1"/>
  <c r="F241" i="1"/>
  <c r="G241" i="1" s="1"/>
  <c r="H241" i="1" s="1"/>
  <c r="F101" i="1"/>
  <c r="G101" i="1" s="1"/>
  <c r="H101" i="1" s="1"/>
  <c r="F117" i="1"/>
  <c r="G117" i="1" s="1"/>
  <c r="H117" i="1" s="1"/>
  <c r="F133" i="1"/>
  <c r="G133" i="1" s="1"/>
  <c r="H133" i="1" s="1"/>
  <c r="F149" i="1"/>
  <c r="G149" i="1" s="1"/>
  <c r="H149" i="1" s="1"/>
  <c r="F165" i="1"/>
  <c r="G165" i="1" s="1"/>
  <c r="H165" i="1" s="1"/>
  <c r="F181" i="1"/>
  <c r="G181" i="1" s="1"/>
  <c r="H181" i="1" s="1"/>
  <c r="F197" i="1"/>
  <c r="G197" i="1" s="1"/>
  <c r="H197" i="1" s="1"/>
  <c r="F213" i="1"/>
  <c r="G213" i="1" s="1"/>
  <c r="H213" i="1" s="1"/>
  <c r="F229" i="1"/>
  <c r="G229" i="1" s="1"/>
  <c r="H229" i="1" s="1"/>
  <c r="F245" i="1"/>
  <c r="G245" i="1" s="1"/>
  <c r="H245" i="1" s="1"/>
  <c r="F261" i="1"/>
  <c r="G261" i="1" s="1"/>
  <c r="H261" i="1" s="1"/>
  <c r="F277" i="1"/>
  <c r="G277" i="1" s="1"/>
  <c r="H277" i="1" s="1"/>
  <c r="F293" i="1"/>
  <c r="G293" i="1" s="1"/>
  <c r="H293" i="1" s="1"/>
  <c r="F309" i="1"/>
  <c r="G309" i="1" s="1"/>
  <c r="H309" i="1" s="1"/>
  <c r="F325" i="1"/>
  <c r="G325" i="1" s="1"/>
  <c r="H325" i="1" s="1"/>
  <c r="F338" i="1"/>
  <c r="G338" i="1" s="1"/>
  <c r="H338" i="1" s="1"/>
  <c r="F346" i="1"/>
  <c r="G346" i="1" s="1"/>
  <c r="H346" i="1" s="1"/>
  <c r="F257" i="1"/>
  <c r="G257" i="1" s="1"/>
  <c r="H257" i="1" s="1"/>
  <c r="F289" i="1"/>
  <c r="G289" i="1" s="1"/>
  <c r="H289" i="1" s="1"/>
  <c r="F321" i="1"/>
  <c r="G321" i="1" s="1"/>
  <c r="H321" i="1" s="1"/>
  <c r="F345" i="1"/>
  <c r="G345" i="1" s="1"/>
  <c r="H345" i="1" s="1"/>
  <c r="F265" i="1"/>
  <c r="G265" i="1" s="1"/>
  <c r="H265" i="1" s="1"/>
  <c r="F297" i="1"/>
  <c r="G297" i="1" s="1"/>
  <c r="H297" i="1" s="1"/>
  <c r="F329" i="1"/>
  <c r="G329" i="1" s="1"/>
  <c r="H329" i="1" s="1"/>
  <c r="F349" i="1"/>
  <c r="G349" i="1" s="1"/>
  <c r="H349" i="1" s="1"/>
  <c r="F273" i="1"/>
  <c r="G273" i="1" s="1"/>
  <c r="H273" i="1" s="1"/>
  <c r="F305" i="1"/>
  <c r="G305" i="1" s="1"/>
  <c r="H305" i="1" s="1"/>
  <c r="F337" i="1"/>
  <c r="G337" i="1" s="1"/>
  <c r="H337" i="1" s="1"/>
  <c r="F249" i="1"/>
  <c r="G249" i="1" s="1"/>
  <c r="H249" i="1" s="1"/>
  <c r="F281" i="1"/>
  <c r="G281" i="1" s="1"/>
  <c r="H281" i="1" s="1"/>
  <c r="F313" i="1"/>
  <c r="G313" i="1" s="1"/>
  <c r="H313" i="1" s="1"/>
  <c r="F341" i="1"/>
  <c r="G341" i="1" s="1"/>
  <c r="H341" i="1" s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100" i="1"/>
  <c r="J100" i="1" s="1"/>
  <c r="K100" i="1" s="1" a="1"/>
  <c r="K100" i="1" s="1"/>
  <c r="I104" i="1"/>
  <c r="I108" i="1"/>
  <c r="J108" i="1" s="1"/>
  <c r="K108" i="1" s="1" a="1"/>
  <c r="K108" i="1" s="1"/>
  <c r="I112" i="1"/>
  <c r="I116" i="1"/>
  <c r="J116" i="1" s="1"/>
  <c r="I120" i="1"/>
  <c r="I124" i="1"/>
  <c r="J124" i="1" s="1"/>
  <c r="K124" i="1" s="1" a="1"/>
  <c r="K124" i="1" s="1"/>
  <c r="I128" i="1"/>
  <c r="I132" i="1"/>
  <c r="J132" i="1" s="1"/>
  <c r="L132" i="1" s="1"/>
  <c r="I136" i="1"/>
  <c r="I140" i="1"/>
  <c r="J140" i="1" s="1"/>
  <c r="K140" i="1" s="1" a="1"/>
  <c r="K140" i="1" s="1"/>
  <c r="I144" i="1"/>
  <c r="I148" i="1"/>
  <c r="J148" i="1" s="1"/>
  <c r="K148" i="1" s="1" a="1"/>
  <c r="K148" i="1" s="1"/>
  <c r="I152" i="1"/>
  <c r="I156" i="1"/>
  <c r="J156" i="1" s="1"/>
  <c r="K156" i="1" s="1" a="1"/>
  <c r="K156" i="1" s="1"/>
  <c r="I160" i="1"/>
  <c r="I164" i="1"/>
  <c r="J164" i="1" s="1"/>
  <c r="K164" i="1" s="1" a="1"/>
  <c r="K164" i="1" s="1"/>
  <c r="I168" i="1"/>
  <c r="I172" i="1"/>
  <c r="J172" i="1" s="1"/>
  <c r="K172" i="1" s="1" a="1"/>
  <c r="K172" i="1" s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180" i="1"/>
  <c r="I188" i="1"/>
  <c r="J188" i="1" s="1"/>
  <c r="I196" i="1"/>
  <c r="I204" i="1"/>
  <c r="I212" i="1"/>
  <c r="I220" i="1"/>
  <c r="J220" i="1" s="1"/>
  <c r="K220" i="1" s="1" a="1"/>
  <c r="K220" i="1" s="1"/>
  <c r="I228" i="1"/>
  <c r="I236" i="1"/>
  <c r="I244" i="1"/>
  <c r="I252" i="1"/>
  <c r="J252" i="1" s="1"/>
  <c r="K252" i="1" s="1" a="1"/>
  <c r="K252" i="1" s="1"/>
  <c r="I260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182" i="1"/>
  <c r="I190" i="1"/>
  <c r="I198" i="1"/>
  <c r="I206" i="1"/>
  <c r="I214" i="1"/>
  <c r="I222" i="1"/>
  <c r="I230" i="1"/>
  <c r="I238" i="1"/>
  <c r="I246" i="1"/>
  <c r="I254" i="1"/>
  <c r="I262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I349" i="1"/>
  <c r="I184" i="1"/>
  <c r="I192" i="1"/>
  <c r="I200" i="1"/>
  <c r="I208" i="1"/>
  <c r="I216" i="1"/>
  <c r="I224" i="1"/>
  <c r="I232" i="1"/>
  <c r="I240" i="1"/>
  <c r="I248" i="1"/>
  <c r="I256" i="1"/>
  <c r="I264" i="1"/>
  <c r="I270" i="1"/>
  <c r="I274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176" i="1"/>
  <c r="I186" i="1"/>
  <c r="I194" i="1"/>
  <c r="I202" i="1"/>
  <c r="I210" i="1"/>
  <c r="I218" i="1"/>
  <c r="I226" i="1"/>
  <c r="I234" i="1"/>
  <c r="I242" i="1"/>
  <c r="I250" i="1"/>
  <c r="I258" i="1"/>
  <c r="I266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G95" i="1"/>
  <c r="H95" i="1" s="1"/>
  <c r="F91" i="1"/>
  <c r="G91" i="1" s="1"/>
  <c r="H91" i="1" s="1"/>
  <c r="F97" i="1"/>
  <c r="G97" i="1" s="1"/>
  <c r="H97" i="1" s="1"/>
  <c r="I97" i="1"/>
  <c r="F96" i="1"/>
  <c r="G96" i="1" s="1"/>
  <c r="H96" i="1" s="1"/>
  <c r="I90" i="1"/>
  <c r="G98" i="1"/>
  <c r="H98" i="1" s="1"/>
  <c r="I93" i="1"/>
  <c r="F94" i="1"/>
  <c r="G94" i="1" s="1"/>
  <c r="H94" i="1" s="1"/>
  <c r="F90" i="1"/>
  <c r="G90" i="1" s="1"/>
  <c r="H90" i="1" s="1"/>
  <c r="I92" i="1"/>
  <c r="F93" i="1"/>
  <c r="G93" i="1" s="1"/>
  <c r="H93" i="1" s="1"/>
  <c r="J93" i="1" s="1"/>
  <c r="K93" i="1" s="1" a="1"/>
  <c r="K93" i="1" s="1"/>
  <c r="F89" i="1"/>
  <c r="G89" i="1" s="1"/>
  <c r="H89" i="1" s="1"/>
  <c r="I91" i="1"/>
  <c r="F92" i="1"/>
  <c r="G92" i="1" s="1"/>
  <c r="H92" i="1" s="1"/>
  <c r="J92" i="1" s="1"/>
  <c r="K92" i="1" s="1" a="1"/>
  <c r="K92" i="1" s="1"/>
  <c r="I94" i="1"/>
  <c r="B2" i="3"/>
  <c r="C2" i="3" s="1"/>
  <c r="D2" i="3" s="1"/>
  <c r="I65" i="1"/>
  <c r="B5" i="3"/>
  <c r="C5" i="3" s="1"/>
  <c r="D5" i="3" s="1"/>
  <c r="B4" i="3"/>
  <c r="C4" i="3" s="1"/>
  <c r="D4" i="3" s="1"/>
  <c r="B3" i="3"/>
  <c r="C3" i="3" s="1"/>
  <c r="D3" i="3" s="1"/>
  <c r="F45" i="1"/>
  <c r="G45" i="1" s="1"/>
  <c r="H45" i="1" s="1"/>
  <c r="F43" i="1"/>
  <c r="G43" i="1" s="1"/>
  <c r="H43" i="1" s="1"/>
  <c r="F26" i="1"/>
  <c r="G26" i="1" s="1"/>
  <c r="H26" i="1" s="1"/>
  <c r="F65" i="1"/>
  <c r="G65" i="1" s="1"/>
  <c r="H65" i="1" s="1"/>
  <c r="I26" i="1"/>
  <c r="I43" i="1"/>
  <c r="I66" i="1"/>
  <c r="F85" i="1"/>
  <c r="G85" i="1" s="1"/>
  <c r="H85" i="1" s="1"/>
  <c r="I86" i="1"/>
  <c r="F86" i="1"/>
  <c r="G86" i="1" s="1"/>
  <c r="H86" i="1" s="1"/>
  <c r="F87" i="1"/>
  <c r="G87" i="1" s="1"/>
  <c r="H87" i="1" s="1"/>
  <c r="I87" i="1"/>
  <c r="I85" i="1"/>
  <c r="G88" i="1"/>
  <c r="H88" i="1" s="1"/>
  <c r="F81" i="1"/>
  <c r="G81" i="1" s="1"/>
  <c r="H81" i="1" s="1"/>
  <c r="I73" i="1"/>
  <c r="I83" i="1"/>
  <c r="F77" i="1"/>
  <c r="G77" i="1" s="1"/>
  <c r="H77" i="1" s="1"/>
  <c r="I79" i="1"/>
  <c r="I71" i="1"/>
  <c r="I81" i="1"/>
  <c r="F73" i="1"/>
  <c r="G73" i="1" s="1"/>
  <c r="H73" i="1" s="1"/>
  <c r="I77" i="1"/>
  <c r="I69" i="1"/>
  <c r="I75" i="1"/>
  <c r="I67" i="1"/>
  <c r="F79" i="1"/>
  <c r="G79" i="1" s="1"/>
  <c r="H79" i="1" s="1"/>
  <c r="F71" i="1"/>
  <c r="G71" i="1" s="1"/>
  <c r="H71" i="1" s="1"/>
  <c r="F67" i="1"/>
  <c r="G67" i="1" s="1"/>
  <c r="H67" i="1" s="1"/>
  <c r="F80" i="1"/>
  <c r="G80" i="1" s="1"/>
  <c r="H80" i="1" s="1"/>
  <c r="F76" i="1"/>
  <c r="G76" i="1" s="1"/>
  <c r="H76" i="1" s="1"/>
  <c r="F72" i="1"/>
  <c r="G72" i="1" s="1"/>
  <c r="H72" i="1" s="1"/>
  <c r="F68" i="1"/>
  <c r="G68" i="1" s="1"/>
  <c r="H68" i="1" s="1"/>
  <c r="I84" i="1"/>
  <c r="I80" i="1"/>
  <c r="I76" i="1"/>
  <c r="I72" i="1"/>
  <c r="I68" i="1"/>
  <c r="F69" i="1"/>
  <c r="G69" i="1" s="1"/>
  <c r="H69" i="1" s="1"/>
  <c r="F82" i="1"/>
  <c r="G82" i="1" s="1"/>
  <c r="H82" i="1" s="1"/>
  <c r="F78" i="1"/>
  <c r="G78" i="1" s="1"/>
  <c r="H78" i="1" s="1"/>
  <c r="F74" i="1"/>
  <c r="G74" i="1" s="1"/>
  <c r="H74" i="1" s="1"/>
  <c r="F70" i="1"/>
  <c r="G70" i="1" s="1"/>
  <c r="H70" i="1" s="1"/>
  <c r="F66" i="1"/>
  <c r="G66" i="1" s="1"/>
  <c r="H66" i="1" s="1"/>
  <c r="I82" i="1"/>
  <c r="I78" i="1"/>
  <c r="I74" i="1"/>
  <c r="I70" i="1"/>
  <c r="F83" i="1"/>
  <c r="G83" i="1" s="1"/>
  <c r="H83" i="1" s="1"/>
  <c r="F75" i="1"/>
  <c r="G75" i="1" s="1"/>
  <c r="H75" i="1" s="1"/>
  <c r="F60" i="1"/>
  <c r="G60" i="1" s="1"/>
  <c r="H60" i="1" s="1"/>
  <c r="F63" i="1"/>
  <c r="G63" i="1" s="1"/>
  <c r="H63" i="1" s="1"/>
  <c r="F47" i="1"/>
  <c r="G47" i="1" s="1"/>
  <c r="H47" i="1" s="1"/>
  <c r="F56" i="1"/>
  <c r="G56" i="1" s="1"/>
  <c r="H56" i="1" s="1"/>
  <c r="F48" i="1"/>
  <c r="G48" i="1" s="1"/>
  <c r="H48" i="1" s="1"/>
  <c r="I47" i="1"/>
  <c r="F52" i="1"/>
  <c r="G52" i="1" s="1"/>
  <c r="H52" i="1" s="1"/>
  <c r="F55" i="1"/>
  <c r="G55" i="1" s="1"/>
  <c r="H55" i="1" s="1"/>
  <c r="F46" i="1"/>
  <c r="G46" i="1" s="1"/>
  <c r="H46" i="1" s="1"/>
  <c r="F59" i="1"/>
  <c r="G59" i="1" s="1"/>
  <c r="H59" i="1" s="1"/>
  <c r="F51" i="1"/>
  <c r="G51" i="1" s="1"/>
  <c r="H51" i="1" s="1"/>
  <c r="I62" i="1"/>
  <c r="I58" i="1"/>
  <c r="I54" i="1"/>
  <c r="I50" i="1"/>
  <c r="I46" i="1"/>
  <c r="F61" i="1"/>
  <c r="G61" i="1" s="1"/>
  <c r="H61" i="1" s="1"/>
  <c r="F57" i="1"/>
  <c r="G57" i="1" s="1"/>
  <c r="H57" i="1" s="1"/>
  <c r="F53" i="1"/>
  <c r="G53" i="1" s="1"/>
  <c r="H53" i="1" s="1"/>
  <c r="F49" i="1"/>
  <c r="G49" i="1" s="1"/>
  <c r="H49" i="1" s="1"/>
  <c r="I61" i="1"/>
  <c r="I57" i="1"/>
  <c r="I53" i="1"/>
  <c r="I49" i="1"/>
  <c r="I45" i="1"/>
  <c r="F62" i="1"/>
  <c r="G62" i="1" s="1"/>
  <c r="H62" i="1" s="1"/>
  <c r="F58" i="1"/>
  <c r="G58" i="1" s="1"/>
  <c r="H58" i="1" s="1"/>
  <c r="F54" i="1"/>
  <c r="G54" i="1" s="1"/>
  <c r="H54" i="1" s="1"/>
  <c r="F50" i="1"/>
  <c r="G50" i="1" s="1"/>
  <c r="H50" i="1" s="1"/>
  <c r="I64" i="1"/>
  <c r="I60" i="1"/>
  <c r="I56" i="1"/>
  <c r="I52" i="1"/>
  <c r="I48" i="1"/>
  <c r="I44" i="1"/>
  <c r="I63" i="1"/>
  <c r="I59" i="1"/>
  <c r="I55" i="1"/>
  <c r="I51" i="1"/>
  <c r="F44" i="1"/>
  <c r="G44" i="1" s="1"/>
  <c r="H44" i="1" s="1"/>
  <c r="F42" i="1"/>
  <c r="G42" i="1" s="1"/>
  <c r="H42" i="1" s="1"/>
  <c r="F35" i="1"/>
  <c r="G35" i="1" s="1"/>
  <c r="H35" i="1" s="1"/>
  <c r="I30" i="1"/>
  <c r="F40" i="1"/>
  <c r="G40" i="1" s="1"/>
  <c r="H40" i="1" s="1"/>
  <c r="F36" i="1"/>
  <c r="G36" i="1" s="1"/>
  <c r="H36" i="1" s="1"/>
  <c r="F32" i="1"/>
  <c r="G32" i="1" s="1"/>
  <c r="H32" i="1" s="1"/>
  <c r="F28" i="1"/>
  <c r="G28" i="1" s="1"/>
  <c r="H28" i="1" s="1"/>
  <c r="I41" i="1"/>
  <c r="I37" i="1"/>
  <c r="I33" i="1"/>
  <c r="I29" i="1"/>
  <c r="F34" i="1"/>
  <c r="G34" i="1" s="1"/>
  <c r="H34" i="1" s="1"/>
  <c r="F39" i="1"/>
  <c r="G39" i="1" s="1"/>
  <c r="H39" i="1" s="1"/>
  <c r="F31" i="1"/>
  <c r="G31" i="1" s="1"/>
  <c r="H31" i="1" s="1"/>
  <c r="F27" i="1"/>
  <c r="G27" i="1" s="1"/>
  <c r="H27" i="1" s="1"/>
  <c r="I42" i="1"/>
  <c r="I34" i="1"/>
  <c r="F41" i="1"/>
  <c r="G41" i="1" s="1"/>
  <c r="H41" i="1" s="1"/>
  <c r="F37" i="1"/>
  <c r="G37" i="1" s="1"/>
  <c r="H37" i="1" s="1"/>
  <c r="F33" i="1"/>
  <c r="G33" i="1" s="1"/>
  <c r="H33" i="1" s="1"/>
  <c r="F29" i="1"/>
  <c r="G29" i="1" s="1"/>
  <c r="H29" i="1" s="1"/>
  <c r="I40" i="1"/>
  <c r="I36" i="1"/>
  <c r="I32" i="1"/>
  <c r="I28" i="1"/>
  <c r="F30" i="1"/>
  <c r="G30" i="1" s="1"/>
  <c r="H30" i="1" s="1"/>
  <c r="I39" i="1"/>
  <c r="I35" i="1"/>
  <c r="I31" i="1"/>
  <c r="I27" i="1"/>
  <c r="F38" i="1"/>
  <c r="G38" i="1" s="1"/>
  <c r="H38" i="1" s="1"/>
  <c r="I38" i="1"/>
  <c r="I15" i="1"/>
  <c r="F8" i="1"/>
  <c r="G8" i="1" s="1"/>
  <c r="H8" i="1" s="1"/>
  <c r="I8" i="1"/>
  <c r="F9" i="1"/>
  <c r="G9" i="1" s="1"/>
  <c r="H9" i="1" s="1"/>
  <c r="I11" i="1"/>
  <c r="F24" i="1"/>
  <c r="G24" i="1" s="1"/>
  <c r="H24" i="1" s="1"/>
  <c r="F16" i="1"/>
  <c r="G16" i="1" s="1"/>
  <c r="H16" i="1" s="1"/>
  <c r="F12" i="1"/>
  <c r="G12" i="1" s="1"/>
  <c r="H12" i="1" s="1"/>
  <c r="I19" i="1"/>
  <c r="J2" i="1"/>
  <c r="L2" i="1" s="1"/>
  <c r="F23" i="1"/>
  <c r="G23" i="1" s="1"/>
  <c r="H23" i="1" s="1"/>
  <c r="F19" i="1"/>
  <c r="G19" i="1" s="1"/>
  <c r="H19" i="1" s="1"/>
  <c r="F15" i="1"/>
  <c r="G15" i="1" s="1"/>
  <c r="H15" i="1" s="1"/>
  <c r="F11" i="1"/>
  <c r="G11" i="1" s="1"/>
  <c r="H11" i="1" s="1"/>
  <c r="I22" i="1"/>
  <c r="I18" i="1"/>
  <c r="I14" i="1"/>
  <c r="I10" i="1"/>
  <c r="I23" i="1"/>
  <c r="F22" i="1"/>
  <c r="G22" i="1" s="1"/>
  <c r="H22" i="1" s="1"/>
  <c r="F18" i="1"/>
  <c r="G18" i="1" s="1"/>
  <c r="H18" i="1" s="1"/>
  <c r="F14" i="1"/>
  <c r="G14" i="1" s="1"/>
  <c r="H14" i="1" s="1"/>
  <c r="F10" i="1"/>
  <c r="G10" i="1" s="1"/>
  <c r="H10" i="1" s="1"/>
  <c r="I25" i="1"/>
  <c r="I21" i="1"/>
  <c r="I17" i="1"/>
  <c r="I13" i="1"/>
  <c r="I9" i="1"/>
  <c r="F20" i="1"/>
  <c r="G20" i="1" s="1"/>
  <c r="H20" i="1" s="1"/>
  <c r="F25" i="1"/>
  <c r="G25" i="1" s="1"/>
  <c r="H25" i="1" s="1"/>
  <c r="F21" i="1"/>
  <c r="G21" i="1" s="1"/>
  <c r="H21" i="1" s="1"/>
  <c r="F17" i="1"/>
  <c r="G17" i="1" s="1"/>
  <c r="H17" i="1" s="1"/>
  <c r="F13" i="1"/>
  <c r="G13" i="1" s="1"/>
  <c r="H13" i="1" s="1"/>
  <c r="I24" i="1"/>
  <c r="I20" i="1"/>
  <c r="I16" i="1"/>
  <c r="I12" i="1"/>
  <c r="I4" i="1"/>
  <c r="F3" i="1"/>
  <c r="F5" i="1"/>
  <c r="F6" i="1"/>
  <c r="F4" i="1"/>
  <c r="F7" i="1"/>
  <c r="I6" i="1"/>
  <c r="I7" i="1"/>
  <c r="I5" i="1"/>
  <c r="I3" i="1"/>
  <c r="G3" i="3" l="1"/>
  <c r="G2" i="3"/>
  <c r="G4" i="3"/>
  <c r="G5" i="3"/>
  <c r="G6" i="3"/>
  <c r="G7" i="3"/>
  <c r="E7" i="3"/>
  <c r="F7" i="3"/>
  <c r="H7" i="3"/>
  <c r="I7" i="3"/>
  <c r="J45" i="1"/>
  <c r="K45" i="1" s="1" a="1"/>
  <c r="K45" i="1" s="1"/>
  <c r="J59" i="1"/>
  <c r="N252" i="1"/>
  <c r="N172" i="1"/>
  <c r="N124" i="1"/>
  <c r="N220" i="1"/>
  <c r="N140" i="1"/>
  <c r="N164" i="1"/>
  <c r="N148" i="1"/>
  <c r="N156" i="1"/>
  <c r="F2" i="3"/>
  <c r="E2" i="3"/>
  <c r="F6" i="3"/>
  <c r="F5" i="3"/>
  <c r="F4" i="3"/>
  <c r="F3" i="3"/>
  <c r="E4" i="3"/>
  <c r="E6" i="3"/>
  <c r="E3" i="3"/>
  <c r="E5" i="3"/>
  <c r="K2" i="1" a="1"/>
  <c r="K2" i="1" s="1"/>
  <c r="I3" i="3"/>
  <c r="H3" i="3"/>
  <c r="I4" i="3"/>
  <c r="H4" i="3"/>
  <c r="I6" i="3"/>
  <c r="H6" i="3"/>
  <c r="I5" i="3"/>
  <c r="H5" i="3"/>
  <c r="J91" i="1"/>
  <c r="K91" i="1" s="1" a="1"/>
  <c r="K91" i="1" s="1"/>
  <c r="J60" i="1"/>
  <c r="K60" i="1" s="1" a="1"/>
  <c r="K60" i="1" s="1"/>
  <c r="J48" i="1"/>
  <c r="K48" i="1" s="1" a="1"/>
  <c r="K48" i="1" s="1"/>
  <c r="J260" i="1"/>
  <c r="K260" i="1" s="1" a="1"/>
  <c r="K260" i="1" s="1"/>
  <c r="J228" i="1"/>
  <c r="K228" i="1" s="1" a="1"/>
  <c r="K228" i="1" s="1"/>
  <c r="J196" i="1"/>
  <c r="K196" i="1" s="1" a="1"/>
  <c r="K196" i="1" s="1"/>
  <c r="J340" i="1"/>
  <c r="K340" i="1" s="1" a="1"/>
  <c r="K340" i="1" s="1"/>
  <c r="J324" i="1"/>
  <c r="K324" i="1" s="1" a="1"/>
  <c r="K324" i="1" s="1"/>
  <c r="J308" i="1"/>
  <c r="K308" i="1" s="1" a="1"/>
  <c r="K308" i="1" s="1"/>
  <c r="J292" i="1"/>
  <c r="K292" i="1" s="1" a="1"/>
  <c r="K292" i="1" s="1"/>
  <c r="J276" i="1"/>
  <c r="K276" i="1" s="1" a="1"/>
  <c r="K276" i="1" s="1"/>
  <c r="J244" i="1"/>
  <c r="K244" i="1" s="1" a="1"/>
  <c r="K244" i="1" s="1"/>
  <c r="J212" i="1"/>
  <c r="K212" i="1" s="1" a="1"/>
  <c r="K212" i="1" s="1"/>
  <c r="J180" i="1"/>
  <c r="K180" i="1" s="1" a="1"/>
  <c r="K180" i="1" s="1"/>
  <c r="J96" i="1"/>
  <c r="K96" i="1" s="1" a="1"/>
  <c r="K96" i="1" s="1"/>
  <c r="L100" i="1"/>
  <c r="J65" i="1"/>
  <c r="K65" i="1" s="1" a="1"/>
  <c r="K65" i="1" s="1"/>
  <c r="J75" i="1"/>
  <c r="L75" i="1" s="1"/>
  <c r="L148" i="1"/>
  <c r="K132" i="1" a="1"/>
  <c r="K132" i="1" s="1"/>
  <c r="J98" i="1"/>
  <c r="K98" i="1" s="1" a="1"/>
  <c r="K98" i="1" s="1"/>
  <c r="J97" i="1"/>
  <c r="K97" i="1" s="1" a="1"/>
  <c r="K97" i="1" s="1"/>
  <c r="J272" i="1"/>
  <c r="K272" i="1" s="1" a="1"/>
  <c r="K272" i="1" s="1"/>
  <c r="J224" i="1"/>
  <c r="K224" i="1" s="1" a="1"/>
  <c r="K224" i="1" s="1"/>
  <c r="L93" i="1"/>
  <c r="L108" i="1"/>
  <c r="N108" i="1" s="1"/>
  <c r="O108" i="1" s="1"/>
  <c r="J348" i="1"/>
  <c r="K348" i="1" s="1" a="1"/>
  <c r="K348" i="1" s="1"/>
  <c r="J332" i="1"/>
  <c r="K332" i="1" s="1" a="1"/>
  <c r="K332" i="1" s="1"/>
  <c r="J316" i="1"/>
  <c r="J300" i="1"/>
  <c r="K300" i="1" s="1" a="1"/>
  <c r="K300" i="1" s="1"/>
  <c r="J284" i="1"/>
  <c r="J268" i="1"/>
  <c r="K268" i="1" s="1" a="1"/>
  <c r="K268" i="1" s="1"/>
  <c r="J236" i="1"/>
  <c r="L236" i="1" s="1"/>
  <c r="J204" i="1"/>
  <c r="K204" i="1" s="1" a="1"/>
  <c r="K204" i="1" s="1"/>
  <c r="L164" i="1"/>
  <c r="J264" i="1"/>
  <c r="J232" i="1"/>
  <c r="K232" i="1" s="1" a="1"/>
  <c r="K232" i="1" s="1"/>
  <c r="J200" i="1"/>
  <c r="J344" i="1"/>
  <c r="K344" i="1" s="1" a="1"/>
  <c r="K344" i="1" s="1"/>
  <c r="J328" i="1"/>
  <c r="J312" i="1"/>
  <c r="J296" i="1"/>
  <c r="J280" i="1"/>
  <c r="J89" i="1"/>
  <c r="L89" i="1" s="1"/>
  <c r="J336" i="1"/>
  <c r="K336" i="1" s="1" a="1"/>
  <c r="K336" i="1" s="1"/>
  <c r="J320" i="1"/>
  <c r="K320" i="1" s="1" a="1"/>
  <c r="K320" i="1" s="1"/>
  <c r="J304" i="1"/>
  <c r="K304" i="1" s="1" a="1"/>
  <c r="K304" i="1" s="1"/>
  <c r="J288" i="1"/>
  <c r="K288" i="1" s="1" a="1"/>
  <c r="K288" i="1" s="1"/>
  <c r="J256" i="1"/>
  <c r="K256" i="1" s="1" a="1"/>
  <c r="K256" i="1" s="1"/>
  <c r="J240" i="1"/>
  <c r="K240" i="1" s="1" a="1"/>
  <c r="K240" i="1" s="1"/>
  <c r="J208" i="1"/>
  <c r="K208" i="1" s="1" a="1"/>
  <c r="K208" i="1" s="1"/>
  <c r="J192" i="1"/>
  <c r="K192" i="1" s="1" a="1"/>
  <c r="K192" i="1" s="1"/>
  <c r="J248" i="1"/>
  <c r="J216" i="1"/>
  <c r="J184" i="1"/>
  <c r="J168" i="1"/>
  <c r="J152" i="1"/>
  <c r="J136" i="1"/>
  <c r="J120" i="1"/>
  <c r="J104" i="1"/>
  <c r="L172" i="1"/>
  <c r="L220" i="1"/>
  <c r="L124" i="1"/>
  <c r="L140" i="1"/>
  <c r="L252" i="1"/>
  <c r="L156" i="1"/>
  <c r="J176" i="1"/>
  <c r="L92" i="1"/>
  <c r="J160" i="1"/>
  <c r="J144" i="1"/>
  <c r="J128" i="1"/>
  <c r="J112" i="1"/>
  <c r="J341" i="1"/>
  <c r="J337" i="1"/>
  <c r="J329" i="1"/>
  <c r="J321" i="1"/>
  <c r="J338" i="1"/>
  <c r="J277" i="1"/>
  <c r="J213" i="1"/>
  <c r="J149" i="1"/>
  <c r="J241" i="1"/>
  <c r="J177" i="1"/>
  <c r="J113" i="1"/>
  <c r="J301" i="1"/>
  <c r="J237" i="1"/>
  <c r="J173" i="1"/>
  <c r="J109" i="1"/>
  <c r="J185" i="1"/>
  <c r="J121" i="1"/>
  <c r="J335" i="1"/>
  <c r="J319" i="1"/>
  <c r="J303" i="1"/>
  <c r="J287" i="1"/>
  <c r="J271" i="1"/>
  <c r="J255" i="1"/>
  <c r="J239" i="1"/>
  <c r="J223" i="1"/>
  <c r="J207" i="1"/>
  <c r="J191" i="1"/>
  <c r="J175" i="1"/>
  <c r="J159" i="1"/>
  <c r="J143" i="1"/>
  <c r="J127" i="1"/>
  <c r="J111" i="1"/>
  <c r="J334" i="1"/>
  <c r="J318" i="1"/>
  <c r="J302" i="1"/>
  <c r="J286" i="1"/>
  <c r="J270" i="1"/>
  <c r="J254" i="1"/>
  <c r="J238" i="1"/>
  <c r="J222" i="1"/>
  <c r="J206" i="1"/>
  <c r="J190" i="1"/>
  <c r="J174" i="1"/>
  <c r="J158" i="1"/>
  <c r="J142" i="1"/>
  <c r="J126" i="1"/>
  <c r="J110" i="1"/>
  <c r="K188" i="1" a="1"/>
  <c r="K188" i="1" s="1"/>
  <c r="L188" i="1"/>
  <c r="M124" i="1"/>
  <c r="J313" i="1"/>
  <c r="J305" i="1"/>
  <c r="J297" i="1"/>
  <c r="J289" i="1"/>
  <c r="J325" i="1"/>
  <c r="J261" i="1"/>
  <c r="J197" i="1"/>
  <c r="J133" i="1"/>
  <c r="J225" i="1"/>
  <c r="J161" i="1"/>
  <c r="J342" i="1"/>
  <c r="J285" i="1"/>
  <c r="J221" i="1"/>
  <c r="J157" i="1"/>
  <c r="J233" i="1"/>
  <c r="J169" i="1"/>
  <c r="J105" i="1"/>
  <c r="J347" i="1"/>
  <c r="J331" i="1"/>
  <c r="J315" i="1"/>
  <c r="J299" i="1"/>
  <c r="J283" i="1"/>
  <c r="J267" i="1"/>
  <c r="J251" i="1"/>
  <c r="J235" i="1"/>
  <c r="J219" i="1"/>
  <c r="J203" i="1"/>
  <c r="J187" i="1"/>
  <c r="J171" i="1"/>
  <c r="J155" i="1"/>
  <c r="J139" i="1"/>
  <c r="J123" i="1"/>
  <c r="J107" i="1"/>
  <c r="J330" i="1"/>
  <c r="J314" i="1"/>
  <c r="J298" i="1"/>
  <c r="J282" i="1"/>
  <c r="J266" i="1"/>
  <c r="J250" i="1"/>
  <c r="J234" i="1"/>
  <c r="J218" i="1"/>
  <c r="J202" i="1"/>
  <c r="J186" i="1"/>
  <c r="J170" i="1"/>
  <c r="J154" i="1"/>
  <c r="J138" i="1"/>
  <c r="J122" i="1"/>
  <c r="J106" i="1"/>
  <c r="J90" i="1"/>
  <c r="K90" i="1" s="1" a="1"/>
  <c r="K90" i="1" s="1"/>
  <c r="J281" i="1"/>
  <c r="J273" i="1"/>
  <c r="J265" i="1"/>
  <c r="J257" i="1"/>
  <c r="J309" i="1"/>
  <c r="J245" i="1"/>
  <c r="J181" i="1"/>
  <c r="J117" i="1"/>
  <c r="J209" i="1"/>
  <c r="J145" i="1"/>
  <c r="J333" i="1"/>
  <c r="J269" i="1"/>
  <c r="J205" i="1"/>
  <c r="J141" i="1"/>
  <c r="J217" i="1"/>
  <c r="J153" i="1"/>
  <c r="J343" i="1"/>
  <c r="J327" i="1"/>
  <c r="J311" i="1"/>
  <c r="J295" i="1"/>
  <c r="J279" i="1"/>
  <c r="J263" i="1"/>
  <c r="J247" i="1"/>
  <c r="J231" i="1"/>
  <c r="J215" i="1"/>
  <c r="J199" i="1"/>
  <c r="J183" i="1"/>
  <c r="J167" i="1"/>
  <c r="J151" i="1"/>
  <c r="J135" i="1"/>
  <c r="J119" i="1"/>
  <c r="J103" i="1"/>
  <c r="J326" i="1"/>
  <c r="J310" i="1"/>
  <c r="J294" i="1"/>
  <c r="J278" i="1"/>
  <c r="J262" i="1"/>
  <c r="J246" i="1"/>
  <c r="J230" i="1"/>
  <c r="J214" i="1"/>
  <c r="J198" i="1"/>
  <c r="J182" i="1"/>
  <c r="J166" i="1"/>
  <c r="J150" i="1"/>
  <c r="J134" i="1"/>
  <c r="J118" i="1"/>
  <c r="J102" i="1"/>
  <c r="K116" i="1" a="1"/>
  <c r="K116" i="1" s="1"/>
  <c r="L116" i="1"/>
  <c r="J249" i="1"/>
  <c r="J349" i="1"/>
  <c r="J345" i="1"/>
  <c r="J346" i="1"/>
  <c r="J293" i="1"/>
  <c r="J229" i="1"/>
  <c r="J165" i="1"/>
  <c r="J101" i="1"/>
  <c r="J193" i="1"/>
  <c r="J129" i="1"/>
  <c r="J317" i="1"/>
  <c r="J253" i="1"/>
  <c r="J189" i="1"/>
  <c r="J125" i="1"/>
  <c r="J201" i="1"/>
  <c r="J137" i="1"/>
  <c r="J339" i="1"/>
  <c r="J323" i="1"/>
  <c r="J307" i="1"/>
  <c r="J291" i="1"/>
  <c r="J275" i="1"/>
  <c r="J259" i="1"/>
  <c r="J243" i="1"/>
  <c r="J227" i="1"/>
  <c r="J211" i="1"/>
  <c r="J195" i="1"/>
  <c r="J179" i="1"/>
  <c r="J163" i="1"/>
  <c r="J147" i="1"/>
  <c r="J131" i="1"/>
  <c r="J115" i="1"/>
  <c r="J99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M148" i="1"/>
  <c r="M172" i="1"/>
  <c r="M220" i="1"/>
  <c r="M156" i="1"/>
  <c r="M140" i="1"/>
  <c r="M252" i="1"/>
  <c r="M100" i="1"/>
  <c r="M108" i="1"/>
  <c r="M164" i="1"/>
  <c r="J94" i="1"/>
  <c r="J95" i="1"/>
  <c r="M91" i="1"/>
  <c r="M92" i="1"/>
  <c r="M93" i="1"/>
  <c r="J66" i="1"/>
  <c r="K66" i="1" s="1" a="1"/>
  <c r="K66" i="1" s="1"/>
  <c r="J42" i="1"/>
  <c r="L42" i="1" s="1"/>
  <c r="J44" i="1"/>
  <c r="K44" i="1" s="1" a="1"/>
  <c r="K44" i="1" s="1"/>
  <c r="J47" i="1"/>
  <c r="K47" i="1" s="1" a="1"/>
  <c r="K47" i="1" s="1"/>
  <c r="J67" i="1"/>
  <c r="L67" i="1" s="1"/>
  <c r="J29" i="1"/>
  <c r="K29" i="1" s="1" a="1"/>
  <c r="K29" i="1" s="1"/>
  <c r="J85" i="1"/>
  <c r="L85" i="1" s="1"/>
  <c r="J88" i="1"/>
  <c r="K88" i="1" s="1" a="1"/>
  <c r="K88" i="1" s="1"/>
  <c r="J87" i="1"/>
  <c r="L87" i="1" s="1"/>
  <c r="J86" i="1"/>
  <c r="K86" i="1" s="1" a="1"/>
  <c r="K86" i="1" s="1"/>
  <c r="K85" i="1" a="1"/>
  <c r="K85" i="1" s="1"/>
  <c r="J81" i="1"/>
  <c r="K81" i="1" s="1" a="1"/>
  <c r="K81" i="1" s="1"/>
  <c r="J77" i="1"/>
  <c r="L77" i="1" s="1"/>
  <c r="J83" i="1"/>
  <c r="L83" i="1" s="1"/>
  <c r="J79" i="1"/>
  <c r="L79" i="1" s="1"/>
  <c r="J69" i="1"/>
  <c r="L69" i="1" s="1"/>
  <c r="J71" i="1"/>
  <c r="L71" i="1" s="1"/>
  <c r="J73" i="1"/>
  <c r="K73" i="1" s="1" a="1"/>
  <c r="K73" i="1" s="1"/>
  <c r="J74" i="1"/>
  <c r="K74" i="1" s="1" a="1"/>
  <c r="K74" i="1" s="1"/>
  <c r="J80" i="1"/>
  <c r="L80" i="1" s="1"/>
  <c r="J78" i="1"/>
  <c r="L78" i="1" s="1"/>
  <c r="J68" i="1"/>
  <c r="L68" i="1" s="1"/>
  <c r="J84" i="1"/>
  <c r="K84" i="1" s="1" a="1"/>
  <c r="K84" i="1" s="1"/>
  <c r="J82" i="1"/>
  <c r="J72" i="1"/>
  <c r="J70" i="1"/>
  <c r="J76" i="1"/>
  <c r="J63" i="1"/>
  <c r="K63" i="1" s="1" a="1"/>
  <c r="K63" i="1" s="1"/>
  <c r="J56" i="1"/>
  <c r="K56" i="1" s="1" a="1"/>
  <c r="K56" i="1" s="1"/>
  <c r="J55" i="1"/>
  <c r="L55" i="1" s="1"/>
  <c r="J51" i="1"/>
  <c r="K51" i="1" s="1" a="1"/>
  <c r="K51" i="1" s="1"/>
  <c r="J64" i="1"/>
  <c r="K64" i="1" s="1" a="1"/>
  <c r="K64" i="1" s="1"/>
  <c r="J58" i="1"/>
  <c r="L58" i="1" s="1"/>
  <c r="J52" i="1"/>
  <c r="L52" i="1" s="1"/>
  <c r="J57" i="1"/>
  <c r="L57" i="1" s="1"/>
  <c r="J54" i="1"/>
  <c r="J53" i="1"/>
  <c r="L53" i="1" s="1"/>
  <c r="J46" i="1"/>
  <c r="L46" i="1" s="1"/>
  <c r="J61" i="1"/>
  <c r="K59" i="1" a="1"/>
  <c r="K59" i="1" s="1"/>
  <c r="L59" i="1"/>
  <c r="J50" i="1"/>
  <c r="J62" i="1"/>
  <c r="J49" i="1"/>
  <c r="M45" i="1"/>
  <c r="J33" i="1"/>
  <c r="L33" i="1" s="1"/>
  <c r="J37" i="1"/>
  <c r="L37" i="1" s="1"/>
  <c r="J41" i="1"/>
  <c r="K41" i="1" s="1" a="1"/>
  <c r="K41" i="1" s="1"/>
  <c r="J28" i="1"/>
  <c r="K28" i="1" s="1" a="1"/>
  <c r="K28" i="1" s="1"/>
  <c r="J32" i="1"/>
  <c r="K32" i="1" s="1" a="1"/>
  <c r="K32" i="1" s="1"/>
  <c r="J27" i="1"/>
  <c r="K27" i="1" s="1" a="1"/>
  <c r="K27" i="1" s="1"/>
  <c r="J31" i="1"/>
  <c r="K31" i="1" s="1" a="1"/>
  <c r="K31" i="1" s="1"/>
  <c r="J35" i="1"/>
  <c r="L35" i="1" s="1"/>
  <c r="J30" i="1"/>
  <c r="L30" i="1" s="1"/>
  <c r="J43" i="1"/>
  <c r="K43" i="1" s="1" a="1"/>
  <c r="K43" i="1" s="1"/>
  <c r="J39" i="1"/>
  <c r="L39" i="1" s="1"/>
  <c r="J36" i="1"/>
  <c r="L36" i="1" s="1"/>
  <c r="J34" i="1"/>
  <c r="J40" i="1"/>
  <c r="L40" i="1" s="1"/>
  <c r="J38" i="1"/>
  <c r="J15" i="1"/>
  <c r="K15" i="1" s="1" a="1"/>
  <c r="K15" i="1" s="1"/>
  <c r="J11" i="1"/>
  <c r="K11" i="1" s="1" a="1"/>
  <c r="K11" i="1" s="1"/>
  <c r="J8" i="1"/>
  <c r="L8" i="1" s="1"/>
  <c r="J10" i="1"/>
  <c r="K10" i="1" s="1" a="1"/>
  <c r="K10" i="1" s="1"/>
  <c r="J9" i="1"/>
  <c r="L9" i="1" s="1"/>
  <c r="J13" i="1"/>
  <c r="L13" i="1" s="1"/>
  <c r="J12" i="1"/>
  <c r="L12" i="1" s="1"/>
  <c r="J24" i="1"/>
  <c r="L24" i="1" s="1"/>
  <c r="J25" i="1"/>
  <c r="K25" i="1" s="1" a="1"/>
  <c r="K25" i="1" s="1"/>
  <c r="J17" i="1"/>
  <c r="L17" i="1" s="1"/>
  <c r="J14" i="1"/>
  <c r="J19" i="1"/>
  <c r="K19" i="1" s="1" a="1"/>
  <c r="K19" i="1" s="1"/>
  <c r="J20" i="1"/>
  <c r="K20" i="1" s="1" a="1"/>
  <c r="K20" i="1" s="1"/>
  <c r="J21" i="1"/>
  <c r="L21" i="1" s="1"/>
  <c r="J18" i="1"/>
  <c r="L18" i="1" s="1"/>
  <c r="J23" i="1"/>
  <c r="K23" i="1" s="1" a="1"/>
  <c r="K23" i="1" s="1"/>
  <c r="J16" i="1"/>
  <c r="J22" i="1"/>
  <c r="K22" i="1" s="1" a="1"/>
  <c r="K22" i="1" s="1"/>
  <c r="J26" i="1"/>
  <c r="G3" i="1"/>
  <c r="H3" i="1" s="1"/>
  <c r="J3" i="1" s="1"/>
  <c r="G4" i="1"/>
  <c r="H4" i="1" s="1"/>
  <c r="J4" i="1" s="1"/>
  <c r="G5" i="1"/>
  <c r="H5" i="1" s="1"/>
  <c r="J5" i="1" s="1"/>
  <c r="G6" i="1"/>
  <c r="H6" i="1" s="1"/>
  <c r="J6" i="1" s="1"/>
  <c r="G7" i="1"/>
  <c r="H7" i="1" s="1"/>
  <c r="J7" i="1" s="1"/>
  <c r="L7" i="1" s="1"/>
  <c r="M2" i="1" l="1"/>
  <c r="L45" i="1"/>
  <c r="N45" i="1"/>
  <c r="L48" i="1"/>
  <c r="N336" i="1"/>
  <c r="L66" i="1"/>
  <c r="N188" i="1"/>
  <c r="N192" i="1"/>
  <c r="N288" i="1"/>
  <c r="N268" i="1"/>
  <c r="N224" i="1"/>
  <c r="N100" i="1"/>
  <c r="O100" i="1" s="1"/>
  <c r="N244" i="1"/>
  <c r="N324" i="1"/>
  <c r="N260" i="1"/>
  <c r="N232" i="1"/>
  <c r="N212" i="1"/>
  <c r="N308" i="1"/>
  <c r="M60" i="1"/>
  <c r="N116" i="1"/>
  <c r="O116" i="1" s="1"/>
  <c r="N208" i="1"/>
  <c r="N304" i="1"/>
  <c r="N344" i="1"/>
  <c r="N272" i="1"/>
  <c r="O2" i="1"/>
  <c r="N256" i="1"/>
  <c r="N240" i="1"/>
  <c r="N320" i="1"/>
  <c r="N204" i="1"/>
  <c r="N180" i="1"/>
  <c r="N292" i="1"/>
  <c r="N196" i="1"/>
  <c r="M260" i="1"/>
  <c r="M244" i="1"/>
  <c r="L65" i="1"/>
  <c r="L60" i="1"/>
  <c r="M324" i="1"/>
  <c r="N93" i="1"/>
  <c r="O93" i="1" s="1"/>
  <c r="N92" i="1"/>
  <c r="O92" i="1" s="1"/>
  <c r="L56" i="1"/>
  <c r="L228" i="1"/>
  <c r="L96" i="1"/>
  <c r="N96" i="1" s="1"/>
  <c r="O96" i="1" s="1"/>
  <c r="L268" i="1"/>
  <c r="L244" i="1"/>
  <c r="L324" i="1"/>
  <c r="L260" i="1"/>
  <c r="K236" i="1" a="1"/>
  <c r="K236" i="1" s="1"/>
  <c r="L91" i="1"/>
  <c r="N91" i="1" s="1"/>
  <c r="O91" i="1" s="1"/>
  <c r="L98" i="1"/>
  <c r="L276" i="1"/>
  <c r="L340" i="1"/>
  <c r="M98" i="1"/>
  <c r="M308" i="1"/>
  <c r="L308" i="1"/>
  <c r="M212" i="1"/>
  <c r="L212" i="1"/>
  <c r="M97" i="1"/>
  <c r="L224" i="1"/>
  <c r="L97" i="1"/>
  <c r="M180" i="1"/>
  <c r="M196" i="1"/>
  <c r="O45" i="1"/>
  <c r="M32" i="1"/>
  <c r="M51" i="1"/>
  <c r="M300" i="1"/>
  <c r="N300" i="1"/>
  <c r="M65" i="1"/>
  <c r="M228" i="1"/>
  <c r="N228" i="1"/>
  <c r="M29" i="1"/>
  <c r="M348" i="1"/>
  <c r="N348" i="1"/>
  <c r="M28" i="1"/>
  <c r="M10" i="1"/>
  <c r="M41" i="1"/>
  <c r="M59" i="1"/>
  <c r="N59" i="1" s="1"/>
  <c r="M56" i="1"/>
  <c r="N56" i="1" s="1"/>
  <c r="K67" i="1" a="1"/>
  <c r="K67" i="1" s="1"/>
  <c r="M81" i="1"/>
  <c r="M292" i="1"/>
  <c r="K89" i="1" a="1"/>
  <c r="K89" i="1" s="1"/>
  <c r="M132" i="1"/>
  <c r="N132" i="1"/>
  <c r="M44" i="1"/>
  <c r="M20" i="1"/>
  <c r="M27" i="1"/>
  <c r="K77" i="1" a="1"/>
  <c r="K77" i="1" s="1"/>
  <c r="M47" i="1"/>
  <c r="M332" i="1"/>
  <c r="N332" i="1"/>
  <c r="M96" i="1"/>
  <c r="M276" i="1"/>
  <c r="N276" i="1"/>
  <c r="M340" i="1"/>
  <c r="N340" i="1"/>
  <c r="M204" i="1"/>
  <c r="L180" i="1"/>
  <c r="L196" i="1"/>
  <c r="K75" i="1" a="1"/>
  <c r="K75" i="1" s="1"/>
  <c r="L292" i="1"/>
  <c r="L272" i="1"/>
  <c r="L336" i="1"/>
  <c r="L256" i="1"/>
  <c r="L81" i="1"/>
  <c r="M268" i="1"/>
  <c r="L348" i="1"/>
  <c r="L320" i="1"/>
  <c r="L204" i="1"/>
  <c r="L240" i="1"/>
  <c r="L232" i="1"/>
  <c r="L208" i="1"/>
  <c r="L332" i="1"/>
  <c r="L300" i="1"/>
  <c r="L288" i="1"/>
  <c r="L304" i="1"/>
  <c r="K316" i="1" a="1"/>
  <c r="K316" i="1" s="1"/>
  <c r="L316" i="1"/>
  <c r="K284" i="1" a="1"/>
  <c r="K284" i="1" s="1"/>
  <c r="L284" i="1"/>
  <c r="M90" i="1"/>
  <c r="L90" i="1"/>
  <c r="L192" i="1"/>
  <c r="M344" i="1"/>
  <c r="L344" i="1"/>
  <c r="M232" i="1"/>
  <c r="L104" i="1"/>
  <c r="K104" i="1" a="1"/>
  <c r="K104" i="1" s="1"/>
  <c r="L168" i="1"/>
  <c r="K168" i="1" a="1"/>
  <c r="K168" i="1" s="1"/>
  <c r="K328" i="1" a="1"/>
  <c r="K328" i="1" s="1"/>
  <c r="L328" i="1"/>
  <c r="L264" i="1"/>
  <c r="K264" i="1" a="1"/>
  <c r="K264" i="1" s="1"/>
  <c r="K120" i="1" a="1"/>
  <c r="K120" i="1" s="1"/>
  <c r="L120" i="1"/>
  <c r="K184" i="1" a="1"/>
  <c r="K184" i="1" s="1"/>
  <c r="L184" i="1"/>
  <c r="K280" i="1" a="1"/>
  <c r="K280" i="1" s="1"/>
  <c r="L280" i="1"/>
  <c r="K136" i="1" a="1"/>
  <c r="K136" i="1" s="1"/>
  <c r="L136" i="1"/>
  <c r="L216" i="1"/>
  <c r="K216" i="1" a="1"/>
  <c r="K216" i="1" s="1"/>
  <c r="K296" i="1" a="1"/>
  <c r="K296" i="1" s="1"/>
  <c r="L296" i="1"/>
  <c r="K200" i="1" a="1"/>
  <c r="K200" i="1" s="1"/>
  <c r="L200" i="1"/>
  <c r="K152" i="1" a="1"/>
  <c r="K152" i="1" s="1"/>
  <c r="L152" i="1"/>
  <c r="K248" i="1" a="1"/>
  <c r="K248" i="1" s="1"/>
  <c r="L248" i="1"/>
  <c r="K312" i="1" a="1"/>
  <c r="K312" i="1" s="1"/>
  <c r="L312" i="1"/>
  <c r="K128" i="1" a="1"/>
  <c r="K128" i="1" s="1"/>
  <c r="L128" i="1"/>
  <c r="L144" i="1"/>
  <c r="K144" i="1" a="1"/>
  <c r="K144" i="1" s="1"/>
  <c r="K176" i="1" a="1"/>
  <c r="K176" i="1" s="1"/>
  <c r="L176" i="1"/>
  <c r="L160" i="1"/>
  <c r="K160" i="1" a="1"/>
  <c r="K160" i="1" s="1"/>
  <c r="K112" i="1" a="1"/>
  <c r="K112" i="1" s="1"/>
  <c r="L112" i="1"/>
  <c r="K146" i="1" a="1"/>
  <c r="K146" i="1" s="1"/>
  <c r="L146" i="1"/>
  <c r="K274" i="1" a="1"/>
  <c r="K274" i="1" s="1"/>
  <c r="L274" i="1"/>
  <c r="K163" i="1" a="1"/>
  <c r="K163" i="1" s="1"/>
  <c r="L163" i="1"/>
  <c r="K291" i="1" a="1"/>
  <c r="K291" i="1" s="1"/>
  <c r="L291" i="1"/>
  <c r="K253" i="1" a="1"/>
  <c r="K253" i="1" s="1"/>
  <c r="L253" i="1"/>
  <c r="K346" i="1" a="1"/>
  <c r="K346" i="1" s="1"/>
  <c r="L346" i="1"/>
  <c r="K102" i="1" a="1"/>
  <c r="K102" i="1" s="1"/>
  <c r="L102" i="1"/>
  <c r="L230" i="1"/>
  <c r="K230" i="1" a="1"/>
  <c r="K230" i="1" s="1"/>
  <c r="K119" i="1" a="1"/>
  <c r="K119" i="1" s="1"/>
  <c r="L119" i="1"/>
  <c r="K247" i="1" a="1"/>
  <c r="K247" i="1" s="1"/>
  <c r="L247" i="1"/>
  <c r="K217" i="1" a="1"/>
  <c r="K217" i="1" s="1"/>
  <c r="L217" i="1"/>
  <c r="K181" i="1" a="1"/>
  <c r="K181" i="1" s="1"/>
  <c r="L181" i="1"/>
  <c r="K265" i="1" a="1"/>
  <c r="K265" i="1" s="1"/>
  <c r="L265" i="1"/>
  <c r="K154" i="1" a="1"/>
  <c r="K154" i="1" s="1"/>
  <c r="L154" i="1"/>
  <c r="K282" i="1" a="1"/>
  <c r="K282" i="1" s="1"/>
  <c r="L282" i="1"/>
  <c r="K171" i="1" a="1"/>
  <c r="K171" i="1" s="1"/>
  <c r="L171" i="1"/>
  <c r="K299" i="1" a="1"/>
  <c r="K299" i="1" s="1"/>
  <c r="L299" i="1"/>
  <c r="K221" i="1" a="1"/>
  <c r="K221" i="1" s="1"/>
  <c r="L221" i="1"/>
  <c r="K325" i="1" a="1"/>
  <c r="K325" i="1" s="1"/>
  <c r="L325" i="1"/>
  <c r="K286" i="1" a="1"/>
  <c r="K286" i="1" s="1"/>
  <c r="L286" i="1"/>
  <c r="K162" i="1" a="1"/>
  <c r="K162" i="1" s="1"/>
  <c r="L162" i="1"/>
  <c r="K226" i="1" a="1"/>
  <c r="K226" i="1" s="1"/>
  <c r="L226" i="1"/>
  <c r="L290" i="1"/>
  <c r="K290" i="1" a="1"/>
  <c r="K290" i="1" s="1"/>
  <c r="K115" i="1" a="1"/>
  <c r="K115" i="1" s="1"/>
  <c r="L115" i="1"/>
  <c r="K179" i="1" a="1"/>
  <c r="K179" i="1" s="1"/>
  <c r="L179" i="1"/>
  <c r="K243" i="1" a="1"/>
  <c r="K243" i="1" s="1"/>
  <c r="L243" i="1"/>
  <c r="K307" i="1" a="1"/>
  <c r="K307" i="1" s="1"/>
  <c r="L307" i="1"/>
  <c r="K201" i="1" a="1"/>
  <c r="K201" i="1" s="1"/>
  <c r="L201" i="1"/>
  <c r="L317" i="1"/>
  <c r="K317" i="1" a="1"/>
  <c r="K317" i="1" s="1"/>
  <c r="K165" i="1" a="1"/>
  <c r="K165" i="1" s="1"/>
  <c r="L165" i="1"/>
  <c r="K345" i="1" a="1"/>
  <c r="K345" i="1" s="1"/>
  <c r="L345" i="1"/>
  <c r="M116" i="1"/>
  <c r="K118" i="1" a="1"/>
  <c r="K118" i="1" s="1"/>
  <c r="L118" i="1"/>
  <c r="K182" i="1" a="1"/>
  <c r="K182" i="1" s="1"/>
  <c r="L182" i="1"/>
  <c r="K246" i="1" a="1"/>
  <c r="K246" i="1" s="1"/>
  <c r="L246" i="1"/>
  <c r="K310" i="1" a="1"/>
  <c r="K310" i="1" s="1"/>
  <c r="L310" i="1"/>
  <c r="K135" i="1" a="1"/>
  <c r="K135" i="1" s="1"/>
  <c r="L135" i="1"/>
  <c r="K199" i="1" a="1"/>
  <c r="K199" i="1" s="1"/>
  <c r="L199" i="1"/>
  <c r="K263" i="1" a="1"/>
  <c r="K263" i="1" s="1"/>
  <c r="L263" i="1"/>
  <c r="L327" i="1"/>
  <c r="K327" i="1" a="1"/>
  <c r="K327" i="1" s="1"/>
  <c r="K141" i="1" a="1"/>
  <c r="K141" i="1" s="1"/>
  <c r="L141" i="1"/>
  <c r="K145" i="1" a="1"/>
  <c r="K145" i="1" s="1"/>
  <c r="L145" i="1"/>
  <c r="K245" i="1" a="1"/>
  <c r="K245" i="1" s="1"/>
  <c r="L245" i="1"/>
  <c r="K273" i="1" a="1"/>
  <c r="K273" i="1" s="1"/>
  <c r="L273" i="1"/>
  <c r="K106" i="1" a="1"/>
  <c r="K106" i="1" s="1"/>
  <c r="L106" i="1"/>
  <c r="K170" i="1" a="1"/>
  <c r="K170" i="1" s="1"/>
  <c r="L170" i="1"/>
  <c r="K234" i="1" a="1"/>
  <c r="K234" i="1" s="1"/>
  <c r="L234" i="1"/>
  <c r="K298" i="1" a="1"/>
  <c r="K298" i="1" s="1"/>
  <c r="L298" i="1"/>
  <c r="K123" i="1" a="1"/>
  <c r="K123" i="1" s="1"/>
  <c r="L123" i="1"/>
  <c r="L187" i="1"/>
  <c r="K187" i="1" a="1"/>
  <c r="K187" i="1" s="1"/>
  <c r="K251" i="1" a="1"/>
  <c r="K251" i="1" s="1"/>
  <c r="L251" i="1"/>
  <c r="K315" i="1" a="1"/>
  <c r="K315" i="1" s="1"/>
  <c r="L315" i="1"/>
  <c r="K169" i="1" a="1"/>
  <c r="K169" i="1" s="1"/>
  <c r="L169" i="1"/>
  <c r="K285" i="1" a="1"/>
  <c r="K285" i="1" s="1"/>
  <c r="L285" i="1"/>
  <c r="K133" i="1" a="1"/>
  <c r="K133" i="1" s="1"/>
  <c r="L133" i="1"/>
  <c r="K289" i="1" a="1"/>
  <c r="K289" i="1" s="1"/>
  <c r="L289" i="1"/>
  <c r="K110" i="1" a="1"/>
  <c r="K110" i="1" s="1"/>
  <c r="L110" i="1"/>
  <c r="K174" i="1" a="1"/>
  <c r="K174" i="1" s="1"/>
  <c r="L174" i="1"/>
  <c r="K238" i="1" a="1"/>
  <c r="K238" i="1" s="1"/>
  <c r="L238" i="1"/>
  <c r="K302" i="1" a="1"/>
  <c r="K302" i="1" s="1"/>
  <c r="L302" i="1"/>
  <c r="K127" i="1" a="1"/>
  <c r="K127" i="1" s="1"/>
  <c r="L127" i="1"/>
  <c r="K191" i="1" a="1"/>
  <c r="K191" i="1" s="1"/>
  <c r="L191" i="1"/>
  <c r="K255" i="1" a="1"/>
  <c r="K255" i="1" s="1"/>
  <c r="L255" i="1"/>
  <c r="K319" i="1" a="1"/>
  <c r="K319" i="1" s="1"/>
  <c r="L319" i="1"/>
  <c r="K109" i="1" a="1"/>
  <c r="K109" i="1" s="1"/>
  <c r="L109" i="1"/>
  <c r="L113" i="1"/>
  <c r="K113" i="1" a="1"/>
  <c r="K113" i="1" s="1"/>
  <c r="K213" i="1" a="1"/>
  <c r="K213" i="1" s="1"/>
  <c r="L213" i="1"/>
  <c r="K329" i="1" a="1"/>
  <c r="K329" i="1" s="1"/>
  <c r="L329" i="1"/>
  <c r="K178" i="1" a="1"/>
  <c r="K178" i="1" s="1"/>
  <c r="L178" i="1"/>
  <c r="L131" i="1"/>
  <c r="K131" i="1" a="1"/>
  <c r="K131" i="1" s="1"/>
  <c r="K259" i="1" a="1"/>
  <c r="K259" i="1" s="1"/>
  <c r="L259" i="1"/>
  <c r="L129" i="1"/>
  <c r="K129" i="1" a="1"/>
  <c r="K129" i="1" s="1"/>
  <c r="K349" i="1" a="1"/>
  <c r="K349" i="1" s="1"/>
  <c r="L349" i="1"/>
  <c r="K134" i="1" a="1"/>
  <c r="K134" i="1" s="1"/>
  <c r="L134" i="1"/>
  <c r="K262" i="1" a="1"/>
  <c r="K262" i="1" s="1"/>
  <c r="L262" i="1"/>
  <c r="K151" i="1" a="1"/>
  <c r="K151" i="1" s="1"/>
  <c r="L151" i="1"/>
  <c r="K279" i="1" a="1"/>
  <c r="K279" i="1" s="1"/>
  <c r="L279" i="1"/>
  <c r="K205" i="1" a="1"/>
  <c r="K205" i="1" s="1"/>
  <c r="L205" i="1"/>
  <c r="K209" i="1" a="1"/>
  <c r="K209" i="1" s="1"/>
  <c r="L209" i="1"/>
  <c r="K281" i="1" a="1"/>
  <c r="K281" i="1" s="1"/>
  <c r="L281" i="1"/>
  <c r="L122" i="1"/>
  <c r="K122" i="1" a="1"/>
  <c r="K122" i="1" s="1"/>
  <c r="K186" i="1" a="1"/>
  <c r="K186" i="1" s="1"/>
  <c r="L186" i="1"/>
  <c r="K250" i="1" a="1"/>
  <c r="K250" i="1" s="1"/>
  <c r="L250" i="1"/>
  <c r="K314" i="1" a="1"/>
  <c r="K314" i="1" s="1"/>
  <c r="L314" i="1"/>
  <c r="K139" i="1" a="1"/>
  <c r="K139" i="1" s="1"/>
  <c r="L139" i="1"/>
  <c r="K203" i="1" a="1"/>
  <c r="K203" i="1" s="1"/>
  <c r="L203" i="1"/>
  <c r="K267" i="1" a="1"/>
  <c r="K267" i="1" s="1"/>
  <c r="L267" i="1"/>
  <c r="K233" i="1" a="1"/>
  <c r="K233" i="1" s="1"/>
  <c r="L233" i="1"/>
  <c r="K342" i="1" a="1"/>
  <c r="K342" i="1" s="1"/>
  <c r="L342" i="1"/>
  <c r="K197" i="1" a="1"/>
  <c r="K197" i="1" s="1"/>
  <c r="L197" i="1"/>
  <c r="L297" i="1"/>
  <c r="K297" i="1" a="1"/>
  <c r="K297" i="1" s="1"/>
  <c r="K126" i="1" a="1"/>
  <c r="K126" i="1" s="1"/>
  <c r="L126" i="1"/>
  <c r="L190" i="1"/>
  <c r="K190" i="1" a="1"/>
  <c r="K190" i="1" s="1"/>
  <c r="K254" i="1" a="1"/>
  <c r="K254" i="1" s="1"/>
  <c r="L254" i="1"/>
  <c r="K318" i="1" a="1"/>
  <c r="K318" i="1" s="1"/>
  <c r="L318" i="1"/>
  <c r="K143" i="1" a="1"/>
  <c r="K143" i="1" s="1"/>
  <c r="L143" i="1"/>
  <c r="K207" i="1" a="1"/>
  <c r="K207" i="1" s="1"/>
  <c r="L207" i="1"/>
  <c r="K271" i="1" a="1"/>
  <c r="K271" i="1" s="1"/>
  <c r="L271" i="1"/>
  <c r="L335" i="1"/>
  <c r="K335" i="1" a="1"/>
  <c r="K335" i="1" s="1"/>
  <c r="K173" i="1" a="1"/>
  <c r="K173" i="1" s="1"/>
  <c r="L173" i="1"/>
  <c r="L177" i="1"/>
  <c r="K177" i="1" a="1"/>
  <c r="K177" i="1" s="1"/>
  <c r="L277" i="1"/>
  <c r="K277" i="1" a="1"/>
  <c r="K277" i="1" s="1"/>
  <c r="K337" i="1" a="1"/>
  <c r="K337" i="1" s="1"/>
  <c r="L337" i="1"/>
  <c r="K114" i="1" a="1"/>
  <c r="K114" i="1" s="1"/>
  <c r="L114" i="1"/>
  <c r="K242" i="1" a="1"/>
  <c r="K242" i="1" s="1"/>
  <c r="L242" i="1"/>
  <c r="K306" i="1" a="1"/>
  <c r="K306" i="1" s="1"/>
  <c r="L306" i="1"/>
  <c r="K195" i="1" a="1"/>
  <c r="K195" i="1" s="1"/>
  <c r="L195" i="1"/>
  <c r="L323" i="1"/>
  <c r="K323" i="1" a="1"/>
  <c r="K323" i="1" s="1"/>
  <c r="K125" i="1" a="1"/>
  <c r="K125" i="1" s="1"/>
  <c r="L125" i="1"/>
  <c r="K229" i="1" a="1"/>
  <c r="K229" i="1" s="1"/>
  <c r="L229" i="1"/>
  <c r="K198" i="1" a="1"/>
  <c r="K198" i="1" s="1"/>
  <c r="L198" i="1"/>
  <c r="K326" i="1" a="1"/>
  <c r="K326" i="1" s="1"/>
  <c r="L326" i="1"/>
  <c r="K215" i="1" a="1"/>
  <c r="K215" i="1" s="1"/>
  <c r="L215" i="1"/>
  <c r="L343" i="1"/>
  <c r="K343" i="1" a="1"/>
  <c r="K343" i="1" s="1"/>
  <c r="L309" i="1"/>
  <c r="K309" i="1" a="1"/>
  <c r="K309" i="1" s="1"/>
  <c r="K331" i="1" a="1"/>
  <c r="K331" i="1" s="1"/>
  <c r="L331" i="1"/>
  <c r="K130" i="1" a="1"/>
  <c r="K130" i="1" s="1"/>
  <c r="L130" i="1"/>
  <c r="K194" i="1" a="1"/>
  <c r="K194" i="1" s="1"/>
  <c r="L194" i="1"/>
  <c r="K258" i="1" a="1"/>
  <c r="K258" i="1" s="1"/>
  <c r="L258" i="1"/>
  <c r="L322" i="1"/>
  <c r="K322" i="1" a="1"/>
  <c r="K322" i="1" s="1"/>
  <c r="K147" i="1" a="1"/>
  <c r="K147" i="1" s="1"/>
  <c r="L147" i="1"/>
  <c r="L211" i="1"/>
  <c r="K211" i="1" a="1"/>
  <c r="K211" i="1" s="1"/>
  <c r="K275" i="1" a="1"/>
  <c r="K275" i="1" s="1"/>
  <c r="L275" i="1"/>
  <c r="L339" i="1"/>
  <c r="K339" i="1" a="1"/>
  <c r="K339" i="1" s="1"/>
  <c r="K189" i="1" a="1"/>
  <c r="K189" i="1" s="1"/>
  <c r="L189" i="1"/>
  <c r="K193" i="1" a="1"/>
  <c r="K193" i="1" s="1"/>
  <c r="L193" i="1"/>
  <c r="K293" i="1" a="1"/>
  <c r="K293" i="1" s="1"/>
  <c r="L293" i="1"/>
  <c r="K249" i="1" a="1"/>
  <c r="K249" i="1" s="1"/>
  <c r="L249" i="1"/>
  <c r="K150" i="1" a="1"/>
  <c r="K150" i="1" s="1"/>
  <c r="L150" i="1"/>
  <c r="K214" i="1" a="1"/>
  <c r="K214" i="1" s="1"/>
  <c r="L214" i="1"/>
  <c r="K278" i="1" a="1"/>
  <c r="K278" i="1" s="1"/>
  <c r="L278" i="1"/>
  <c r="L103" i="1"/>
  <c r="K103" i="1" a="1"/>
  <c r="K103" i="1" s="1"/>
  <c r="K167" i="1" a="1"/>
  <c r="K167" i="1" s="1"/>
  <c r="L167" i="1"/>
  <c r="K231" i="1" a="1"/>
  <c r="K231" i="1" s="1"/>
  <c r="L231" i="1"/>
  <c r="K295" i="1" a="1"/>
  <c r="K295" i="1" s="1"/>
  <c r="L295" i="1"/>
  <c r="K153" i="1" a="1"/>
  <c r="K153" i="1" s="1"/>
  <c r="L153" i="1"/>
  <c r="K269" i="1" a="1"/>
  <c r="K269" i="1" s="1"/>
  <c r="L269" i="1"/>
  <c r="K117" i="1" a="1"/>
  <c r="K117" i="1" s="1"/>
  <c r="L117" i="1"/>
  <c r="K257" i="1" a="1"/>
  <c r="K257" i="1" s="1"/>
  <c r="L257" i="1"/>
  <c r="K138" i="1" a="1"/>
  <c r="K138" i="1" s="1"/>
  <c r="L138" i="1"/>
  <c r="K202" i="1" a="1"/>
  <c r="K202" i="1" s="1"/>
  <c r="L202" i="1"/>
  <c r="L266" i="1"/>
  <c r="K266" i="1" a="1"/>
  <c r="K266" i="1" s="1"/>
  <c r="K330" i="1" a="1"/>
  <c r="K330" i="1" s="1"/>
  <c r="L330" i="1"/>
  <c r="K155" i="1" a="1"/>
  <c r="K155" i="1" s="1"/>
  <c r="L155" i="1"/>
  <c r="K219" i="1" a="1"/>
  <c r="K219" i="1" s="1"/>
  <c r="L219" i="1"/>
  <c r="K283" i="1" a="1"/>
  <c r="K283" i="1" s="1"/>
  <c r="L283" i="1"/>
  <c r="L347" i="1"/>
  <c r="K347" i="1" a="1"/>
  <c r="K347" i="1" s="1"/>
  <c r="K157" i="1" a="1"/>
  <c r="K157" i="1" s="1"/>
  <c r="L157" i="1"/>
  <c r="K161" i="1" a="1"/>
  <c r="K161" i="1" s="1"/>
  <c r="L161" i="1"/>
  <c r="K261" i="1" a="1"/>
  <c r="K261" i="1" s="1"/>
  <c r="L261" i="1"/>
  <c r="K305" i="1" a="1"/>
  <c r="K305" i="1" s="1"/>
  <c r="L305" i="1"/>
  <c r="K142" i="1" a="1"/>
  <c r="K142" i="1" s="1"/>
  <c r="L142" i="1"/>
  <c r="K206" i="1" a="1"/>
  <c r="K206" i="1" s="1"/>
  <c r="L206" i="1"/>
  <c r="K270" i="1" a="1"/>
  <c r="K270" i="1" s="1"/>
  <c r="L270" i="1"/>
  <c r="K334" i="1" a="1"/>
  <c r="K334" i="1" s="1"/>
  <c r="L334" i="1"/>
  <c r="K159" i="1" a="1"/>
  <c r="K159" i="1" s="1"/>
  <c r="L159" i="1"/>
  <c r="K223" i="1" a="1"/>
  <c r="K223" i="1" s="1"/>
  <c r="L223" i="1"/>
  <c r="L287" i="1"/>
  <c r="K287" i="1" a="1"/>
  <c r="K287" i="1" s="1"/>
  <c r="L121" i="1"/>
  <c r="K121" i="1" a="1"/>
  <c r="K121" i="1" s="1"/>
  <c r="K237" i="1" a="1"/>
  <c r="K237" i="1" s="1"/>
  <c r="L237" i="1"/>
  <c r="K241" i="1" a="1"/>
  <c r="K241" i="1" s="1"/>
  <c r="L241" i="1"/>
  <c r="K338" i="1" a="1"/>
  <c r="K338" i="1" s="1"/>
  <c r="L338" i="1"/>
  <c r="L341" i="1"/>
  <c r="K341" i="1" a="1"/>
  <c r="K341" i="1" s="1"/>
  <c r="L210" i="1"/>
  <c r="K210" i="1" a="1"/>
  <c r="K210" i="1" s="1"/>
  <c r="K99" i="1" a="1"/>
  <c r="K99" i="1" s="1"/>
  <c r="L99" i="1"/>
  <c r="K227" i="1" a="1"/>
  <c r="K227" i="1" s="1"/>
  <c r="L227" i="1"/>
  <c r="K137" i="1" a="1"/>
  <c r="K137" i="1" s="1"/>
  <c r="L137" i="1"/>
  <c r="K101" i="1" a="1"/>
  <c r="K101" i="1" s="1"/>
  <c r="L101" i="1"/>
  <c r="L166" i="1"/>
  <c r="K166" i="1" a="1"/>
  <c r="K166" i="1" s="1"/>
  <c r="K294" i="1" a="1"/>
  <c r="K294" i="1" s="1"/>
  <c r="L294" i="1"/>
  <c r="K183" i="1" a="1"/>
  <c r="K183" i="1" s="1"/>
  <c r="L183" i="1"/>
  <c r="K311" i="1" a="1"/>
  <c r="K311" i="1" s="1"/>
  <c r="L311" i="1"/>
  <c r="K333" i="1" a="1"/>
  <c r="K333" i="1" s="1"/>
  <c r="L333" i="1"/>
  <c r="K218" i="1" a="1"/>
  <c r="K218" i="1" s="1"/>
  <c r="L218" i="1"/>
  <c r="K107" i="1" a="1"/>
  <c r="K107" i="1" s="1"/>
  <c r="L107" i="1"/>
  <c r="L235" i="1"/>
  <c r="K235" i="1" a="1"/>
  <c r="K235" i="1" s="1"/>
  <c r="K105" i="1" a="1"/>
  <c r="K105" i="1" s="1"/>
  <c r="L105" i="1"/>
  <c r="K225" i="1" a="1"/>
  <c r="K225" i="1" s="1"/>
  <c r="L225" i="1"/>
  <c r="K313" i="1" a="1"/>
  <c r="K313" i="1" s="1"/>
  <c r="L313" i="1"/>
  <c r="M188" i="1"/>
  <c r="K158" i="1" a="1"/>
  <c r="K158" i="1" s="1"/>
  <c r="L158" i="1"/>
  <c r="K222" i="1" a="1"/>
  <c r="K222" i="1" s="1"/>
  <c r="L222" i="1"/>
  <c r="L111" i="1"/>
  <c r="K111" i="1" a="1"/>
  <c r="K111" i="1" s="1"/>
  <c r="K175" i="1" a="1"/>
  <c r="K175" i="1" s="1"/>
  <c r="L175" i="1"/>
  <c r="K239" i="1" a="1"/>
  <c r="K239" i="1" s="1"/>
  <c r="L239" i="1"/>
  <c r="K303" i="1" a="1"/>
  <c r="K303" i="1" s="1"/>
  <c r="L303" i="1"/>
  <c r="K185" i="1" a="1"/>
  <c r="K185" i="1" s="1"/>
  <c r="L185" i="1"/>
  <c r="K301" i="1" a="1"/>
  <c r="K301" i="1" s="1"/>
  <c r="L301" i="1"/>
  <c r="K149" i="1" a="1"/>
  <c r="K149" i="1" s="1"/>
  <c r="L149" i="1"/>
  <c r="K321" i="1" a="1"/>
  <c r="K321" i="1" s="1"/>
  <c r="L321" i="1"/>
  <c r="M224" i="1"/>
  <c r="M320" i="1"/>
  <c r="M240" i="1"/>
  <c r="M336" i="1"/>
  <c r="M256" i="1"/>
  <c r="M272" i="1"/>
  <c r="M192" i="1"/>
  <c r="M288" i="1"/>
  <c r="M208" i="1"/>
  <c r="M304" i="1"/>
  <c r="K42" i="1" a="1"/>
  <c r="K42" i="1" s="1"/>
  <c r="K95" i="1" a="1"/>
  <c r="K95" i="1" s="1"/>
  <c r="L95" i="1"/>
  <c r="L94" i="1"/>
  <c r="K94" i="1" a="1"/>
  <c r="K94" i="1" s="1"/>
  <c r="L41" i="1"/>
  <c r="L44" i="1"/>
  <c r="K69" i="1" a="1"/>
  <c r="K69" i="1" s="1"/>
  <c r="L73" i="1"/>
  <c r="L15" i="1"/>
  <c r="L29" i="1"/>
  <c r="L86" i="1"/>
  <c r="K78" i="1" a="1"/>
  <c r="K78" i="1" s="1"/>
  <c r="L47" i="1"/>
  <c r="K55" i="1" a="1"/>
  <c r="K55" i="1" s="1"/>
  <c r="K37" i="1" a="1"/>
  <c r="K37" i="1" s="1"/>
  <c r="L74" i="1"/>
  <c r="L27" i="1"/>
  <c r="L28" i="1"/>
  <c r="L63" i="1"/>
  <c r="K52" i="1" a="1"/>
  <c r="K52" i="1" s="1"/>
  <c r="K68" i="1" a="1"/>
  <c r="K68" i="1" s="1"/>
  <c r="M88" i="1"/>
  <c r="K87" i="1" a="1"/>
  <c r="K87" i="1" s="1"/>
  <c r="L88" i="1"/>
  <c r="M86" i="1"/>
  <c r="M85" i="1"/>
  <c r="N85" i="1" s="1"/>
  <c r="K83" i="1" a="1"/>
  <c r="K83" i="1" s="1"/>
  <c r="K79" i="1" a="1"/>
  <c r="K79" i="1" s="1"/>
  <c r="K80" i="1" a="1"/>
  <c r="K80" i="1" s="1"/>
  <c r="M73" i="1"/>
  <c r="K71" i="1" a="1"/>
  <c r="K71" i="1" s="1"/>
  <c r="L84" i="1"/>
  <c r="M77" i="1"/>
  <c r="M74" i="1"/>
  <c r="K70" i="1" a="1"/>
  <c r="K70" i="1" s="1"/>
  <c r="L70" i="1"/>
  <c r="K82" i="1" a="1"/>
  <c r="K82" i="1" s="1"/>
  <c r="L82" i="1"/>
  <c r="M69" i="1"/>
  <c r="K72" i="1" a="1"/>
  <c r="K72" i="1" s="1"/>
  <c r="L72" i="1"/>
  <c r="K76" i="1" a="1"/>
  <c r="K76" i="1" s="1"/>
  <c r="L76" i="1"/>
  <c r="M84" i="1"/>
  <c r="M66" i="1"/>
  <c r="M63" i="1"/>
  <c r="K58" i="1" a="1"/>
  <c r="K58" i="1" s="1"/>
  <c r="L64" i="1"/>
  <c r="L51" i="1"/>
  <c r="K53" i="1" a="1"/>
  <c r="K53" i="1" s="1"/>
  <c r="K57" i="1" a="1"/>
  <c r="K57" i="1" s="1"/>
  <c r="K46" i="1" a="1"/>
  <c r="K46" i="1" s="1"/>
  <c r="L54" i="1"/>
  <c r="K54" i="1" a="1"/>
  <c r="K54" i="1" s="1"/>
  <c r="K61" i="1" a="1"/>
  <c r="K61" i="1" s="1"/>
  <c r="L61" i="1"/>
  <c r="M64" i="1"/>
  <c r="L49" i="1"/>
  <c r="K49" i="1" a="1"/>
  <c r="K49" i="1" s="1"/>
  <c r="L50" i="1"/>
  <c r="K50" i="1" a="1"/>
  <c r="K50" i="1" s="1"/>
  <c r="M48" i="1"/>
  <c r="N48" i="1" s="1"/>
  <c r="L62" i="1"/>
  <c r="K62" i="1" a="1"/>
  <c r="K62" i="1" s="1"/>
  <c r="K39" i="1" a="1"/>
  <c r="K39" i="1" s="1"/>
  <c r="K33" i="1" a="1"/>
  <c r="K33" i="1" s="1"/>
  <c r="K35" i="1" a="1"/>
  <c r="K35" i="1" s="1"/>
  <c r="L32" i="1"/>
  <c r="M43" i="1"/>
  <c r="L31" i="1"/>
  <c r="L43" i="1"/>
  <c r="K30" i="1" a="1"/>
  <c r="K30" i="1" s="1"/>
  <c r="M31" i="1"/>
  <c r="K36" i="1" a="1"/>
  <c r="K36" i="1" s="1"/>
  <c r="K40" i="1" a="1"/>
  <c r="K40" i="1" s="1"/>
  <c r="L34" i="1"/>
  <c r="K34" i="1" a="1"/>
  <c r="K34" i="1" s="1"/>
  <c r="L38" i="1"/>
  <c r="K38" i="1" a="1"/>
  <c r="K38" i="1" s="1"/>
  <c r="L11" i="1"/>
  <c r="K8" i="1" a="1"/>
  <c r="K8" i="1" s="1"/>
  <c r="K13" i="1" a="1"/>
  <c r="K13" i="1" s="1"/>
  <c r="L10" i="1"/>
  <c r="K17" i="1" a="1"/>
  <c r="K17" i="1" s="1"/>
  <c r="K21" i="1" a="1"/>
  <c r="K21" i="1" s="1"/>
  <c r="K9" i="1" a="1"/>
  <c r="K9" i="1" s="1"/>
  <c r="L20" i="1"/>
  <c r="K12" i="1" a="1"/>
  <c r="K12" i="1" s="1"/>
  <c r="L19" i="1"/>
  <c r="L25" i="1"/>
  <c r="L22" i="1"/>
  <c r="K18" i="1" a="1"/>
  <c r="K18" i="1" s="1"/>
  <c r="L23" i="1"/>
  <c r="L14" i="1"/>
  <c r="K14" i="1" a="1"/>
  <c r="K14" i="1" s="1"/>
  <c r="K24" i="1" a="1"/>
  <c r="K24" i="1" s="1"/>
  <c r="K26" i="1" a="1"/>
  <c r="K26" i="1" s="1"/>
  <c r="L26" i="1"/>
  <c r="L16" i="1"/>
  <c r="K16" i="1" a="1"/>
  <c r="K16" i="1" s="1"/>
  <c r="M11" i="1"/>
  <c r="M23" i="1"/>
  <c r="M19" i="1"/>
  <c r="M22" i="1"/>
  <c r="M25" i="1"/>
  <c r="M15" i="1"/>
  <c r="K4" i="1" a="1"/>
  <c r="K4" i="1" s="1"/>
  <c r="L4" i="1"/>
  <c r="K3" i="1" a="1"/>
  <c r="K3" i="1" s="1"/>
  <c r="L3" i="1"/>
  <c r="L6" i="1"/>
  <c r="K6" i="1" a="1"/>
  <c r="K6" i="1" s="1"/>
  <c r="K7" i="1" a="1"/>
  <c r="K7" i="1" s="1"/>
  <c r="K5" i="1" a="1"/>
  <c r="K5" i="1" s="1"/>
  <c r="L5" i="1"/>
  <c r="N97" i="1" l="1"/>
  <c r="O97" i="1" s="1"/>
  <c r="N66" i="1"/>
  <c r="N60" i="1"/>
  <c r="O60" i="1" s="1"/>
  <c r="N28" i="1"/>
  <c r="N65" i="1"/>
  <c r="O65" i="1" s="1"/>
  <c r="N183" i="1"/>
  <c r="N223" i="1"/>
  <c r="N206" i="1"/>
  <c r="N161" i="1"/>
  <c r="N330" i="1"/>
  <c r="N257" i="1"/>
  <c r="N295" i="1"/>
  <c r="N278" i="1"/>
  <c r="N293" i="1"/>
  <c r="N275" i="1"/>
  <c r="N258" i="1"/>
  <c r="N198" i="1"/>
  <c r="N195" i="1"/>
  <c r="N337" i="1"/>
  <c r="N318" i="1"/>
  <c r="N267" i="1"/>
  <c r="N250" i="1"/>
  <c r="N209" i="1"/>
  <c r="N262" i="1"/>
  <c r="N259" i="1"/>
  <c r="N213" i="1"/>
  <c r="N255" i="1"/>
  <c r="N238" i="1"/>
  <c r="N133" i="1"/>
  <c r="N251" i="1"/>
  <c r="N234" i="1"/>
  <c r="N245" i="1"/>
  <c r="N263" i="1"/>
  <c r="N246" i="1"/>
  <c r="N216" i="1"/>
  <c r="M75" i="1"/>
  <c r="N75" i="1" s="1"/>
  <c r="N44" i="1"/>
  <c r="O44" i="1" s="1"/>
  <c r="N149" i="1"/>
  <c r="N185" i="1"/>
  <c r="N239" i="1"/>
  <c r="N158" i="1"/>
  <c r="N235" i="1"/>
  <c r="N210" i="1"/>
  <c r="N287" i="1"/>
  <c r="N266" i="1"/>
  <c r="N339" i="1"/>
  <c r="N211" i="1"/>
  <c r="N322" i="1"/>
  <c r="N343" i="1"/>
  <c r="N323" i="1"/>
  <c r="N277" i="1"/>
  <c r="N129" i="1"/>
  <c r="N131" i="1"/>
  <c r="N187" i="1"/>
  <c r="N327" i="1"/>
  <c r="N165" i="1"/>
  <c r="N201" i="1"/>
  <c r="N243" i="1"/>
  <c r="N115" i="1"/>
  <c r="O115" i="1" s="1"/>
  <c r="N226" i="1"/>
  <c r="N286" i="1"/>
  <c r="N221" i="1"/>
  <c r="N171" i="1"/>
  <c r="N154" i="1"/>
  <c r="N181" i="1"/>
  <c r="N247" i="1"/>
  <c r="N346" i="1"/>
  <c r="N291" i="1"/>
  <c r="N274" i="1"/>
  <c r="N176" i="1"/>
  <c r="N128" i="1"/>
  <c r="N248" i="1"/>
  <c r="N200" i="1"/>
  <c r="N280" i="1"/>
  <c r="N120" i="1"/>
  <c r="N328" i="1"/>
  <c r="N284" i="1"/>
  <c r="N98" i="1"/>
  <c r="O98" i="1" s="1"/>
  <c r="N333" i="1"/>
  <c r="N137" i="1"/>
  <c r="N241" i="1"/>
  <c r="N334" i="1"/>
  <c r="N305" i="1"/>
  <c r="N219" i="1"/>
  <c r="N202" i="1"/>
  <c r="N269" i="1"/>
  <c r="N167" i="1"/>
  <c r="N150" i="1"/>
  <c r="N189" i="1"/>
  <c r="N147" i="1"/>
  <c r="N130" i="1"/>
  <c r="N215" i="1"/>
  <c r="N125" i="1"/>
  <c r="N242" i="1"/>
  <c r="N207" i="1"/>
  <c r="N342" i="1"/>
  <c r="N139" i="1"/>
  <c r="N279" i="1"/>
  <c r="N349" i="1"/>
  <c r="N178" i="1"/>
  <c r="N127" i="1"/>
  <c r="N169" i="1"/>
  <c r="N123" i="1"/>
  <c r="N141" i="1"/>
  <c r="N135" i="1"/>
  <c r="N230" i="1"/>
  <c r="N225" i="1"/>
  <c r="N218" i="1"/>
  <c r="N311" i="1"/>
  <c r="N294" i="1"/>
  <c r="N227" i="1"/>
  <c r="N338" i="1"/>
  <c r="N237" i="1"/>
  <c r="N159" i="1"/>
  <c r="N270" i="1"/>
  <c r="N142" i="1"/>
  <c r="N261" i="1"/>
  <c r="N157" i="1"/>
  <c r="N283" i="1"/>
  <c r="N155" i="1"/>
  <c r="N138" i="1"/>
  <c r="N153" i="1"/>
  <c r="N231" i="1"/>
  <c r="N214" i="1"/>
  <c r="N249" i="1"/>
  <c r="N193" i="1"/>
  <c r="N194" i="1"/>
  <c r="N331" i="1"/>
  <c r="N326" i="1"/>
  <c r="N229" i="1"/>
  <c r="N306" i="1"/>
  <c r="N173" i="1"/>
  <c r="N271" i="1"/>
  <c r="N143" i="1"/>
  <c r="N254" i="1"/>
  <c r="N126" i="1"/>
  <c r="N197" i="1"/>
  <c r="N233" i="1"/>
  <c r="N203" i="1"/>
  <c r="N314" i="1"/>
  <c r="N186" i="1"/>
  <c r="N281" i="1"/>
  <c r="N205" i="1"/>
  <c r="N151" i="1"/>
  <c r="N134" i="1"/>
  <c r="N329" i="1"/>
  <c r="N319" i="1"/>
  <c r="N191" i="1"/>
  <c r="N302" i="1"/>
  <c r="N174" i="1"/>
  <c r="N289" i="1"/>
  <c r="N285" i="1"/>
  <c r="N315" i="1"/>
  <c r="N298" i="1"/>
  <c r="N170" i="1"/>
  <c r="N273" i="1"/>
  <c r="N145" i="1"/>
  <c r="N199" i="1"/>
  <c r="N310" i="1"/>
  <c r="N182" i="1"/>
  <c r="N317" i="1"/>
  <c r="N290" i="1"/>
  <c r="N160" i="1"/>
  <c r="N144" i="1"/>
  <c r="N264" i="1"/>
  <c r="N168" i="1"/>
  <c r="M67" i="1"/>
  <c r="N67" i="1" s="1"/>
  <c r="N313" i="1"/>
  <c r="N321" i="1"/>
  <c r="N301" i="1"/>
  <c r="N303" i="1"/>
  <c r="N175" i="1"/>
  <c r="N222" i="1"/>
  <c r="N166" i="1"/>
  <c r="N341" i="1"/>
  <c r="N121" i="1"/>
  <c r="N347" i="1"/>
  <c r="N309" i="1"/>
  <c r="N177" i="1"/>
  <c r="N335" i="1"/>
  <c r="N190" i="1"/>
  <c r="N297" i="1"/>
  <c r="N122" i="1"/>
  <c r="N345" i="1"/>
  <c r="N307" i="1"/>
  <c r="N179" i="1"/>
  <c r="N162" i="1"/>
  <c r="N325" i="1"/>
  <c r="N299" i="1"/>
  <c r="N282" i="1"/>
  <c r="N265" i="1"/>
  <c r="N217" i="1"/>
  <c r="N119" i="1"/>
  <c r="N253" i="1"/>
  <c r="N163" i="1"/>
  <c r="N146" i="1"/>
  <c r="N312" i="1"/>
  <c r="N152" i="1"/>
  <c r="N296" i="1"/>
  <c r="N136" i="1"/>
  <c r="N184" i="1"/>
  <c r="N316" i="1"/>
  <c r="N236" i="1"/>
  <c r="M236" i="1"/>
  <c r="N51" i="1"/>
  <c r="O51" i="1" s="1"/>
  <c r="N27" i="1"/>
  <c r="O27" i="1" s="1"/>
  <c r="N41" i="1"/>
  <c r="O41" i="1" s="1"/>
  <c r="N11" i="1"/>
  <c r="O11" i="1" s="1"/>
  <c r="N32" i="1"/>
  <c r="O32" i="1" s="1"/>
  <c r="N64" i="1"/>
  <c r="O64" i="1" s="1"/>
  <c r="N29" i="1"/>
  <c r="O29" i="1" s="1"/>
  <c r="N20" i="1"/>
  <c r="O20" i="1" s="1"/>
  <c r="N10" i="1"/>
  <c r="O10" i="1" s="1"/>
  <c r="N43" i="1"/>
  <c r="O43" i="1" s="1"/>
  <c r="N23" i="1"/>
  <c r="O23" i="1" s="1"/>
  <c r="N31" i="1"/>
  <c r="O31" i="1" s="1"/>
  <c r="N22" i="1"/>
  <c r="O22" i="1" s="1"/>
  <c r="N47" i="1"/>
  <c r="O47" i="1" s="1"/>
  <c r="N15" i="1"/>
  <c r="O15" i="1" s="1"/>
  <c r="N25" i="1"/>
  <c r="O25" i="1" s="1"/>
  <c r="N84" i="1"/>
  <c r="O84" i="1" s="1"/>
  <c r="N88" i="1"/>
  <c r="O88" i="1" s="1"/>
  <c r="N90" i="1"/>
  <c r="O90" i="1" s="1"/>
  <c r="N74" i="1"/>
  <c r="O74" i="1" s="1"/>
  <c r="N73" i="1"/>
  <c r="O73" i="1" s="1"/>
  <c r="N19" i="1"/>
  <c r="N63" i="1"/>
  <c r="O63" i="1" s="1"/>
  <c r="N86" i="1"/>
  <c r="O86" i="1" s="1"/>
  <c r="N81" i="1"/>
  <c r="O81" i="1" s="1"/>
  <c r="O19" i="1"/>
  <c r="O85" i="1"/>
  <c r="O66" i="1"/>
  <c r="O28" i="1"/>
  <c r="O56" i="1"/>
  <c r="O48" i="1"/>
  <c r="M36" i="1"/>
  <c r="N36" i="1" s="1"/>
  <c r="M80" i="1"/>
  <c r="N80" i="1" s="1"/>
  <c r="M21" i="1"/>
  <c r="N21" i="1" s="1"/>
  <c r="M79" i="1"/>
  <c r="N79" i="1" s="1"/>
  <c r="M9" i="1"/>
  <c r="N9" i="1" s="1"/>
  <c r="M33" i="1"/>
  <c r="N33" i="1" s="1"/>
  <c r="M89" i="1"/>
  <c r="N89" i="1" s="1"/>
  <c r="O59" i="1"/>
  <c r="M7" i="1"/>
  <c r="N7" i="1" s="1"/>
  <c r="M8" i="1"/>
  <c r="N8" i="1" s="1"/>
  <c r="M6" i="1"/>
  <c r="N6" i="1" s="1"/>
  <c r="M12" i="1"/>
  <c r="N12" i="1" s="1"/>
  <c r="M17" i="1"/>
  <c r="N17" i="1" s="1"/>
  <c r="M68" i="1"/>
  <c r="N68" i="1" s="1"/>
  <c r="M71" i="1"/>
  <c r="N71" i="1" s="1"/>
  <c r="M83" i="1"/>
  <c r="N83" i="1" s="1"/>
  <c r="M37" i="1"/>
  <c r="N37" i="1" s="1"/>
  <c r="N69" i="1"/>
  <c r="N77" i="1"/>
  <c r="M13" i="1"/>
  <c r="N13" i="1" s="1"/>
  <c r="M3" i="1"/>
  <c r="N3" i="1" s="1"/>
  <c r="M52" i="1"/>
  <c r="N52" i="1" s="1"/>
  <c r="M78" i="1"/>
  <c r="N78" i="1" s="1"/>
  <c r="M42" i="1"/>
  <c r="N42" i="1" s="1"/>
  <c r="M4" i="1"/>
  <c r="N4" i="1" s="1"/>
  <c r="M58" i="1"/>
  <c r="N58" i="1" s="1"/>
  <c r="M55" i="1"/>
  <c r="N55" i="1" s="1"/>
  <c r="M87" i="1"/>
  <c r="N87" i="1" s="1"/>
  <c r="M284" i="1"/>
  <c r="M316" i="1"/>
  <c r="M216" i="1"/>
  <c r="M104" i="1"/>
  <c r="N104" i="1" s="1"/>
  <c r="O104" i="1" s="1"/>
  <c r="M248" i="1"/>
  <c r="M200" i="1"/>
  <c r="M280" i="1"/>
  <c r="M120" i="1"/>
  <c r="M328" i="1"/>
  <c r="M264" i="1"/>
  <c r="M168" i="1"/>
  <c r="M312" i="1"/>
  <c r="M152" i="1"/>
  <c r="M296" i="1"/>
  <c r="M136" i="1"/>
  <c r="M184" i="1"/>
  <c r="M160" i="1"/>
  <c r="M144" i="1"/>
  <c r="M112" i="1"/>
  <c r="N112" i="1" s="1"/>
  <c r="O112" i="1" s="1"/>
  <c r="M176" i="1"/>
  <c r="M128" i="1"/>
  <c r="M185" i="1"/>
  <c r="M158" i="1"/>
  <c r="M333" i="1"/>
  <c r="M223" i="1"/>
  <c r="M161" i="1"/>
  <c r="M202" i="1"/>
  <c r="M278" i="1"/>
  <c r="M321" i="1"/>
  <c r="M303" i="1"/>
  <c r="M222" i="1"/>
  <c r="M218" i="1"/>
  <c r="M294" i="1"/>
  <c r="M101" i="1"/>
  <c r="N101" i="1" s="1"/>
  <c r="O101" i="1" s="1"/>
  <c r="M227" i="1"/>
  <c r="M237" i="1"/>
  <c r="M270" i="1"/>
  <c r="M142" i="1"/>
  <c r="M261" i="1"/>
  <c r="M283" i="1"/>
  <c r="M155" i="1"/>
  <c r="M138" i="1"/>
  <c r="M153" i="1"/>
  <c r="M231" i="1"/>
  <c r="M214" i="1"/>
  <c r="M189" i="1"/>
  <c r="M147" i="1"/>
  <c r="M130" i="1"/>
  <c r="M198" i="1"/>
  <c r="M195" i="1"/>
  <c r="M337" i="1"/>
  <c r="M207" i="1"/>
  <c r="M267" i="1"/>
  <c r="M250" i="1"/>
  <c r="M279" i="1"/>
  <c r="M349" i="1"/>
  <c r="M178" i="1"/>
  <c r="M109" i="1"/>
  <c r="N109" i="1" s="1"/>
  <c r="O109" i="1" s="1"/>
  <c r="M127" i="1"/>
  <c r="M238" i="1"/>
  <c r="M133" i="1"/>
  <c r="M251" i="1"/>
  <c r="M234" i="1"/>
  <c r="M245" i="1"/>
  <c r="M263" i="1"/>
  <c r="M246" i="1"/>
  <c r="M345" i="1"/>
  <c r="M162" i="1"/>
  <c r="M111" i="1"/>
  <c r="N111" i="1" s="1"/>
  <c r="O111" i="1" s="1"/>
  <c r="M166" i="1"/>
  <c r="M341" i="1"/>
  <c r="M121" i="1"/>
  <c r="M347" i="1"/>
  <c r="M339" i="1"/>
  <c r="M211" i="1"/>
  <c r="M322" i="1"/>
  <c r="M343" i="1"/>
  <c r="M323" i="1"/>
  <c r="M277" i="1"/>
  <c r="M129" i="1"/>
  <c r="M131" i="1"/>
  <c r="M113" i="1"/>
  <c r="N113" i="1" s="1"/>
  <c r="O113" i="1" s="1"/>
  <c r="M187" i="1"/>
  <c r="M327" i="1"/>
  <c r="M230" i="1"/>
  <c r="M149" i="1"/>
  <c r="M105" i="1"/>
  <c r="N105" i="1" s="1"/>
  <c r="O105" i="1" s="1"/>
  <c r="M137" i="1"/>
  <c r="M206" i="1"/>
  <c r="M257" i="1"/>
  <c r="M167" i="1"/>
  <c r="M249" i="1"/>
  <c r="M331" i="1"/>
  <c r="M326" i="1"/>
  <c r="M306" i="1"/>
  <c r="M126" i="1"/>
  <c r="M313" i="1"/>
  <c r="M183" i="1"/>
  <c r="M241" i="1"/>
  <c r="M305" i="1"/>
  <c r="M330" i="1"/>
  <c r="M269" i="1"/>
  <c r="M150" i="1"/>
  <c r="M193" i="1"/>
  <c r="M194" i="1"/>
  <c r="M229" i="1"/>
  <c r="M114" i="1"/>
  <c r="N114" i="1" s="1"/>
  <c r="O114" i="1" s="1"/>
  <c r="M173" i="1"/>
  <c r="M271" i="1"/>
  <c r="M143" i="1"/>
  <c r="M254" i="1"/>
  <c r="M197" i="1"/>
  <c r="M233" i="1"/>
  <c r="M203" i="1"/>
  <c r="M314" i="1"/>
  <c r="M186" i="1"/>
  <c r="M281" i="1"/>
  <c r="M205" i="1"/>
  <c r="M151" i="1"/>
  <c r="M134" i="1"/>
  <c r="M329" i="1"/>
  <c r="M319" i="1"/>
  <c r="M191" i="1"/>
  <c r="M302" i="1"/>
  <c r="M174" i="1"/>
  <c r="M289" i="1"/>
  <c r="M285" i="1"/>
  <c r="M315" i="1"/>
  <c r="M298" i="1"/>
  <c r="M170" i="1"/>
  <c r="M273" i="1"/>
  <c r="M145" i="1"/>
  <c r="M199" i="1"/>
  <c r="M310" i="1"/>
  <c r="M182" i="1"/>
  <c r="M165" i="1"/>
  <c r="M201" i="1"/>
  <c r="M243" i="1"/>
  <c r="M115" i="1"/>
  <c r="M226" i="1"/>
  <c r="M286" i="1"/>
  <c r="M221" i="1"/>
  <c r="M171" i="1"/>
  <c r="M154" i="1"/>
  <c r="M181" i="1"/>
  <c r="M247" i="1"/>
  <c r="M346" i="1"/>
  <c r="M291" i="1"/>
  <c r="M274" i="1"/>
  <c r="M235" i="1"/>
  <c r="M210" i="1"/>
  <c r="M287" i="1"/>
  <c r="M266" i="1"/>
  <c r="M103" i="1"/>
  <c r="N103" i="1" s="1"/>
  <c r="O103" i="1" s="1"/>
  <c r="M309" i="1"/>
  <c r="M177" i="1"/>
  <c r="M335" i="1"/>
  <c r="M190" i="1"/>
  <c r="M297" i="1"/>
  <c r="M122" i="1"/>
  <c r="M317" i="1"/>
  <c r="M290" i="1"/>
  <c r="M239" i="1"/>
  <c r="M107" i="1"/>
  <c r="N107" i="1" s="1"/>
  <c r="O107" i="1" s="1"/>
  <c r="M99" i="1"/>
  <c r="N99" i="1" s="1"/>
  <c r="O99" i="1" s="1"/>
  <c r="M334" i="1"/>
  <c r="M219" i="1"/>
  <c r="M295" i="1"/>
  <c r="M301" i="1"/>
  <c r="M175" i="1"/>
  <c r="M225" i="1"/>
  <c r="M311" i="1"/>
  <c r="M338" i="1"/>
  <c r="M159" i="1"/>
  <c r="M157" i="1"/>
  <c r="M117" i="1"/>
  <c r="N117" i="1" s="1"/>
  <c r="O117" i="1" s="1"/>
  <c r="M293" i="1"/>
  <c r="M275" i="1"/>
  <c r="M258" i="1"/>
  <c r="M215" i="1"/>
  <c r="M125" i="1"/>
  <c r="M242" i="1"/>
  <c r="M318" i="1"/>
  <c r="M342" i="1"/>
  <c r="M139" i="1"/>
  <c r="M209" i="1"/>
  <c r="M262" i="1"/>
  <c r="M259" i="1"/>
  <c r="M213" i="1"/>
  <c r="M255" i="1"/>
  <c r="M110" i="1"/>
  <c r="N110" i="1" s="1"/>
  <c r="O110" i="1" s="1"/>
  <c r="M169" i="1"/>
  <c r="M123" i="1"/>
  <c r="M106" i="1"/>
  <c r="N106" i="1" s="1"/>
  <c r="O106" i="1" s="1"/>
  <c r="M141" i="1"/>
  <c r="M135" i="1"/>
  <c r="M118" i="1"/>
  <c r="N118" i="1" s="1"/>
  <c r="O118" i="1" s="1"/>
  <c r="M307" i="1"/>
  <c r="M179" i="1"/>
  <c r="M325" i="1"/>
  <c r="M299" i="1"/>
  <c r="M282" i="1"/>
  <c r="M265" i="1"/>
  <c r="M217" i="1"/>
  <c r="M119" i="1"/>
  <c r="M102" i="1"/>
  <c r="N102" i="1" s="1"/>
  <c r="O102" i="1" s="1"/>
  <c r="M253" i="1"/>
  <c r="M163" i="1"/>
  <c r="M146" i="1"/>
  <c r="M95" i="1"/>
  <c r="N95" i="1" s="1"/>
  <c r="O95" i="1" s="1"/>
  <c r="M94" i="1"/>
  <c r="N94" i="1" s="1"/>
  <c r="O94" i="1" s="1"/>
  <c r="M76" i="1"/>
  <c r="N76" i="1" s="1"/>
  <c r="M72" i="1"/>
  <c r="N72" i="1" s="1"/>
  <c r="M82" i="1"/>
  <c r="N82" i="1" s="1"/>
  <c r="M70" i="1"/>
  <c r="N70" i="1" s="1"/>
  <c r="M57" i="1"/>
  <c r="N57" i="1" s="1"/>
  <c r="M53" i="1"/>
  <c r="N53" i="1" s="1"/>
  <c r="M46" i="1"/>
  <c r="N46" i="1" s="1"/>
  <c r="M54" i="1"/>
  <c r="N54" i="1" s="1"/>
  <c r="M61" i="1"/>
  <c r="N61" i="1" s="1"/>
  <c r="M49" i="1"/>
  <c r="N49" i="1" s="1"/>
  <c r="M50" i="1"/>
  <c r="N50" i="1" s="1"/>
  <c r="M62" i="1"/>
  <c r="N62" i="1" s="1"/>
  <c r="M39" i="1"/>
  <c r="N39" i="1" s="1"/>
  <c r="M35" i="1"/>
  <c r="N35" i="1" s="1"/>
  <c r="M30" i="1"/>
  <c r="N30" i="1" s="1"/>
  <c r="M40" i="1"/>
  <c r="N40" i="1" s="1"/>
  <c r="M34" i="1"/>
  <c r="N34" i="1" s="1"/>
  <c r="M38" i="1"/>
  <c r="N38" i="1" s="1"/>
  <c r="M18" i="1"/>
  <c r="N18" i="1" s="1"/>
  <c r="M14" i="1"/>
  <c r="N14" i="1" s="1"/>
  <c r="M24" i="1"/>
  <c r="N24" i="1" s="1"/>
  <c r="M16" i="1"/>
  <c r="N16" i="1" s="1"/>
  <c r="M26" i="1"/>
  <c r="N26" i="1" s="1"/>
  <c r="M5" i="1"/>
  <c r="N5" i="1" s="1"/>
  <c r="O40" i="1" l="1"/>
  <c r="O18" i="1"/>
  <c r="O82" i="1"/>
  <c r="O55" i="1"/>
  <c r="O71" i="1"/>
  <c r="O33" i="1"/>
  <c r="O5" i="1"/>
  <c r="O54" i="1"/>
  <c r="O7" i="1"/>
  <c r="O46" i="1"/>
  <c r="O16" i="1"/>
  <c r="O38" i="1"/>
  <c r="O35" i="1"/>
  <c r="O49" i="1"/>
  <c r="O53" i="1"/>
  <c r="O72" i="1"/>
  <c r="O52" i="1"/>
  <c r="O37" i="1"/>
  <c r="O68" i="1"/>
  <c r="O80" i="1"/>
  <c r="O70" i="1"/>
  <c r="O17" i="1"/>
  <c r="O26" i="1"/>
  <c r="O30" i="1"/>
  <c r="O24" i="1"/>
  <c r="O34" i="1"/>
  <c r="O39" i="1"/>
  <c r="O61" i="1"/>
  <c r="O57" i="1"/>
  <c r="O76" i="1"/>
  <c r="O87" i="1"/>
  <c r="O42" i="1"/>
  <c r="O3" i="1"/>
  <c r="O21" i="1"/>
  <c r="O36" i="1"/>
  <c r="O14" i="1"/>
  <c r="O12" i="1"/>
  <c r="O75" i="1"/>
  <c r="O4" i="1"/>
  <c r="O78" i="1"/>
  <c r="O13" i="1"/>
  <c r="O69" i="1"/>
  <c r="O83" i="1"/>
  <c r="O6" i="1"/>
  <c r="O8" i="1"/>
  <c r="O89" i="1"/>
  <c r="O9" i="1"/>
  <c r="O58" i="1"/>
  <c r="O77" i="1"/>
  <c r="O62" i="1"/>
  <c r="O50" i="1"/>
  <c r="O79" i="1"/>
  <c r="O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<sst xmlns="http://schemas.openxmlformats.org/spreadsheetml/2006/main" count="88" uniqueCount="69">
  <si>
    <t>min</t>
  </si>
  <si>
    <t>avg min</t>
  </si>
  <si>
    <t>dec val</t>
  </si>
  <si>
    <t>min val</t>
  </si>
  <si>
    <t>sec</t>
  </si>
  <si>
    <t>avg sec</t>
  </si>
  <si>
    <t>min+sec</t>
  </si>
  <si>
    <t>Resid sec</t>
  </si>
  <si>
    <t>adj min</t>
  </si>
  <si>
    <t>Val Resid sec</t>
  </si>
  <si>
    <t>5k avg pace</t>
  </si>
  <si>
    <t>Day</t>
  </si>
  <si>
    <t>date</t>
  </si>
  <si>
    <t>Monthly Analysis</t>
  </si>
  <si>
    <t>#</t>
  </si>
  <si>
    <t>Highlight end of month average with colour</t>
  </si>
  <si>
    <t>Highlight high paces with a certain colour pattern</t>
  </si>
  <si>
    <t>Further Analysis</t>
  </si>
  <si>
    <t>Month</t>
  </si>
  <si>
    <t xml:space="preserve">Statistical Analysis </t>
  </si>
  <si>
    <t>Visualization of change in, "best 5k pace" over time</t>
  </si>
  <si>
    <t xml:space="preserve">To check whether a pattern or possible trend relating pace with other events(identified beforehand) emerges </t>
  </si>
  <si>
    <t>November</t>
  </si>
  <si>
    <t>December</t>
  </si>
  <si>
    <t>January</t>
  </si>
  <si>
    <t>February</t>
  </si>
  <si>
    <t>s/km</t>
  </si>
  <si>
    <t>P</t>
  </si>
  <si>
    <t>O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</si>
  <si>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</si>
  <si>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</si>
  <si>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</si>
  <si>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</si>
  <si>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</si>
  <si>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</si>
  <si>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</si>
  <si>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</si>
  <si>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Enter_pace</t>
  </si>
  <si>
    <t>5k_pace_min/km</t>
  </si>
  <si>
    <t xml:space="preserve"> 5k_running_avg Pace</t>
  </si>
  <si>
    <t>monthly_pace_difference_base_s/km</t>
  </si>
  <si>
    <t>monthly_average_pace_difference_MoM_s/km</t>
  </si>
  <si>
    <t xml:space="preserve">running_average </t>
  </si>
  <si>
    <t>5k_pace</t>
  </si>
  <si>
    <t>running_avg</t>
  </si>
  <si>
    <t>top_pace</t>
  </si>
  <si>
    <t>Average_5k_time</t>
  </si>
  <si>
    <t>5k_Runs</t>
  </si>
  <si>
    <t>highest_ pace</t>
  </si>
  <si>
    <t>slowest_pace</t>
  </si>
  <si>
    <t>bot_pace</t>
  </si>
  <si>
    <t>Average_5k_monthly</t>
  </si>
  <si>
    <t>Column2</t>
  </si>
  <si>
    <t>Average pace (min/km)</t>
  </si>
  <si>
    <t>Pace Consistency (s)</t>
  </si>
  <si>
    <t>Slowest pace</t>
  </si>
  <si>
    <t>Fastest pace</t>
  </si>
  <si>
    <t>Overall</t>
  </si>
  <si>
    <t>median pace</t>
  </si>
  <si>
    <t>Median pace</t>
  </si>
  <si>
    <t>5K Runs</t>
  </si>
  <si>
    <t>Relative Pace Consistency</t>
  </si>
  <si>
    <t>Statistical measure</t>
  </si>
  <si>
    <t>Standard deviation</t>
  </si>
  <si>
    <t xml:space="preserve">Median </t>
  </si>
  <si>
    <t>Coefficient of variation</t>
  </si>
  <si>
    <t>Mean</t>
  </si>
  <si>
    <t>Range</t>
  </si>
  <si>
    <t>Pace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</si>
</sst>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0.00"/>
    <numFmt numFmtId="165" formatCode="00.000"/>
    <numFmt numFmtId="166" formatCode="dd/mm/yyyy;@"/>
    <numFmt numFmtId="167" formatCode="m:ss"/>
    <numFmt numFmtId="168" formatCode="m:ss\ &quot;min/km&quot;"/>
    <numFmt numFmtId="169" formatCode="m:ss\ "/>
    <numFmt numFmtId="170" formatCode="m:ss.00\ &quot;min/km&quot;"/>
    <numFmt numFmtId="171" formatCode="[$-409]dddd\,\ mmmm\ d\,\ yyyy"/>
    <numFmt numFmtId="172" formatCode="m:ss.00"/>
    <numFmt numFmtId="173" formatCode="ss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color rgb="FF00B050"/>
      <name val="Wingdings 2"/>
      <family val="1"/>
      <charset val="2"/>
    </font>
    <font>
      <sz val="16"/>
      <color rgb="FF00B050"/>
      <name val="Wingdings 2"/>
      <family val="1"/>
      <charset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Wingdings 2"/>
      <family val="1"/>
      <charset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/>
    <xf numFmtId="166" fontId="7" fillId="0" borderId="0" xfId="0" applyNumberFormat="1" applyFont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NumberFormat="1"/>
    <xf numFmtId="0" fontId="2" fillId="0" borderId="2" xfId="0" applyFont="1" applyFill="1" applyBorder="1" applyAlignment="1">
      <alignment horizontal="center"/>
    </xf>
    <xf numFmtId="0" fontId="0" fillId="0" borderId="2" xfId="0" applyBorder="1"/>
    <xf numFmtId="167" fontId="0" fillId="0" borderId="0" xfId="0" applyNumberFormat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0" fillId="3" borderId="8" xfId="0" applyNumberFormat="1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167" fontId="0" fillId="3" borderId="9" xfId="0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7" fontId="0" fillId="0" borderId="12" xfId="0" applyNumberFormat="1" applyFont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167" fontId="0" fillId="3" borderId="12" xfId="0" applyNumberFormat="1" applyFont="1" applyFill="1" applyBorder="1" applyAlignment="1">
      <alignment horizontal="center"/>
    </xf>
    <xf numFmtId="166" fontId="0" fillId="3" borderId="12" xfId="0" applyNumberFormat="1" applyFont="1" applyFill="1" applyBorder="1" applyAlignment="1">
      <alignment horizontal="center"/>
    </xf>
    <xf numFmtId="166" fontId="0" fillId="0" borderId="12" xfId="0" applyNumberFormat="1" applyFont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12" xfId="0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67" fontId="12" fillId="2" borderId="3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167" fontId="0" fillId="0" borderId="1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0" borderId="14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12" fillId="2" borderId="6" xfId="0" applyNumberFormat="1" applyFont="1" applyFill="1" applyBorder="1" applyAlignment="1">
      <alignment horizontal="center"/>
    </xf>
    <xf numFmtId="168" fontId="0" fillId="3" borderId="5" xfId="0" applyNumberFormat="1" applyFont="1" applyFill="1" applyBorder="1" applyAlignment="1">
      <alignment horizontal="center"/>
    </xf>
    <xf numFmtId="168" fontId="0" fillId="3" borderId="4" xfId="0" applyNumberFormat="1" applyFont="1" applyFill="1" applyBorder="1" applyAlignment="1">
      <alignment horizontal="center"/>
    </xf>
    <xf numFmtId="168" fontId="0" fillId="0" borderId="11" xfId="0" applyNumberFormat="1" applyFont="1" applyBorder="1" applyAlignment="1">
      <alignment horizontal="center"/>
    </xf>
    <xf numFmtId="168" fontId="0" fillId="3" borderId="11" xfId="0" applyNumberFormat="1" applyFont="1" applyFill="1" applyBorder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/>
    <xf numFmtId="170" fontId="0" fillId="0" borderId="0" xfId="0" applyNumberFormat="1"/>
    <xf numFmtId="17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69" fontId="2" fillId="4" borderId="0" xfId="0" applyNumberFormat="1" applyFon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169" fontId="0" fillId="5" borderId="16" xfId="0" applyNumberFormat="1" applyFill="1" applyBorder="1" applyAlignment="1">
      <alignment horizontal="center"/>
    </xf>
    <xf numFmtId="10" fontId="0" fillId="0" borderId="0" xfId="2" applyNumberFormat="1" applyFont="1"/>
    <xf numFmtId="10" fontId="2" fillId="4" borderId="0" xfId="2" applyNumberFormat="1" applyFont="1" applyFill="1" applyAlignment="1">
      <alignment horizontal="center"/>
    </xf>
    <xf numFmtId="10" fontId="0" fillId="5" borderId="0" xfId="2" applyNumberFormat="1" applyFont="1" applyFill="1" applyAlignment="1">
      <alignment horizontal="center"/>
    </xf>
    <xf numFmtId="10" fontId="0" fillId="5" borderId="17" xfId="2" applyNumberFormat="1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0" fontId="0" fillId="0" borderId="19" xfId="0" applyBorder="1"/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/>
    <xf numFmtId="0" fontId="2" fillId="6" borderId="20" xfId="0" applyFont="1" applyFill="1" applyBorder="1"/>
    <xf numFmtId="0" fontId="2" fillId="7" borderId="21" xfId="0" applyFont="1" applyFill="1" applyBorder="1"/>
    <xf numFmtId="167" fontId="0" fillId="5" borderId="0" xfId="0" applyNumberFormat="1" applyFill="1"/>
    <xf numFmtId="167" fontId="2" fillId="4" borderId="0" xfId="0" applyNumberFormat="1" applyFont="1" applyFill="1" applyBorder="1"/>
    <xf numFmtId="167" fontId="0" fillId="5" borderId="17" xfId="0" applyNumberFormat="1" applyFill="1" applyBorder="1"/>
    <xf numFmtId="0" fontId="2" fillId="0" borderId="22" xfId="0" applyFont="1" applyBorder="1" applyAlignment="1">
      <alignment horizontal="center"/>
    </xf>
    <xf numFmtId="0" fontId="2" fillId="8" borderId="23" xfId="0" applyFont="1" applyFill="1" applyBorder="1"/>
    <xf numFmtId="0" fontId="0" fillId="0" borderId="24" xfId="0" pivotButton="1" applyBorder="1"/>
    <xf numFmtId="0" fontId="0" fillId="0" borderId="24" xfId="0" applyBorder="1" applyAlignment="1">
      <alignment horizontal="center"/>
    </xf>
    <xf numFmtId="0" fontId="0" fillId="0" borderId="24" xfId="0" applyBorder="1"/>
  </cellXfs>
  <cellStyles count="3">
    <cellStyle name="Normal" xfId="0" builtinId="0"/>
    <cellStyle name="Normal 2" xfId="1" xr:uid="{8B5DFF86-C50B-4F4B-B86C-1D0F9B03A3E9}"/>
    <cellStyle name="Percent" xfId="2" builtinId="5"/>
  </cellStyles>
  <dxfs count="65">
    <dxf>
      <numFmt numFmtId="170" formatCode="m:ss.00\ &quot;min/km&quot;"/>
    </dxf>
    <dxf>
      <numFmt numFmtId="168" formatCode="m:ss\ &quot;min/km&quot;"/>
    </dxf>
    <dxf>
      <numFmt numFmtId="168" formatCode="m:ss\ &quot;min/km&quot;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6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m:ss\ &quot;min/km&quot;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79998168889431442"/>
        </patternFill>
      </fill>
    </dxf>
    <dxf>
      <numFmt numFmtId="171" formatCode="[$-409]dddd\,\ mmmm\ d\,\ yyyy"/>
      <alignment horizontal="center" vertical="bottom" textRotation="0" wrapText="0" indent="0" justifyLastLine="0" shrinkToFit="0" readingOrder="0"/>
    </dxf>
    <dxf>
      <numFmt numFmtId="171" formatCode="[$-409]dddd\,\ mmmm\ d\,\ yyyy"/>
      <alignment horizontal="center" vertical="bottom" textRotation="0" wrapText="0" indent="0" justifyLastLine="0" shrinkToFit="0" readingOrder="0"/>
    </dxf>
    <dxf>
      <numFmt numFmtId="171" formatCode="[$-409]dddd\,\ mmmm\ d\,\ yyyy"/>
      <alignment horizontal="center" vertical="bottom" textRotation="0" wrapText="0" indent="0" justifyLastLine="0" shrinkToFit="0" readingOrder="0"/>
    </dxf>
    <dxf>
      <numFmt numFmtId="171" formatCode="[$-409]dddd\,\ mmmm\ d\,\ yyyy"/>
      <alignment horizontal="center" vertical="bottom" textRotation="0" wrapText="0" indent="0" justifyLastLine="0" shrinkToFit="0" readingOrder="0"/>
    </dxf>
    <dxf>
      <numFmt numFmtId="171" formatCode="[$-409]dddd\,\ mmmm\ 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409]dddd\,\ mmmm\ d\,\ yy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m:ss\ &quot;min/km&quot;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m:ss\ &quot;min/km&quot;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;@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numFmt numFmtId="173" formatCode="ss"/>
    </dxf>
    <dxf>
      <alignment horizontal="center"/>
    </dxf>
    <dxf>
      <numFmt numFmtId="172" formatCode="m:ss.00"/>
    </dxf>
    <dxf>
      <numFmt numFmtId="167" formatCode="m:ss"/>
    </dxf>
    <dxf>
      <numFmt numFmtId="169" formatCode="m:ss\ "/>
    </dxf>
    <dxf>
      <numFmt numFmtId="169" formatCode="m:ss\ "/>
    </dxf>
  </dxfs>
  <tableStyles count="4" defaultTableStyle="TableStyleMedium2" defaultPivotStyle="PivotStyleLight16">
    <tableStyle name="Table Style 1" pivot="0" count="0" xr9:uid="{B627F496-0CD7-4B3F-9223-ABECEFC2091C}"/>
    <tableStyle name="Table Style 2" pivot="0" count="0" xr9:uid="{5602D2E3-AC0C-4A1B-8DEF-FE50969EC32B}"/>
    <tableStyle name="Table Style 3" pivot="0" count="0" xr9:uid="{47F0150A-7036-4C00-9DB1-42A6E59C9D2F}"/>
    <tableStyle name="Table Style 4" pivot="0" count="0" xr9:uid="{84F27878-2E01-4ADB-87A2-87415B1F5C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82297585829031"/>
          <c:y val="1.4184407724657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6968485108657"/>
          <c:y val="0.12305811363013618"/>
          <c:w val="0.72136904694660653"/>
          <c:h val="0.66891693670403507"/>
        </c:manualLayout>
      </c:layout>
      <c:lineChart>
        <c:grouping val="standard"/>
        <c:varyColors val="0"/>
        <c:ser>
          <c:idx val="0"/>
          <c:order val="0"/>
          <c:tx>
            <c:strRef>
              <c:f>PSN!$J$1</c:f>
              <c:strCache>
                <c:ptCount val="1"/>
                <c:pt idx="0">
                  <c:v>running_avg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Trend line</c:nam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val>
            <c:numRef>
              <c:f>PSN!$J$2:$J$118</c:f>
              <c:numCache>
                <c:formatCode>m:ss</c:formatCode>
                <c:ptCount val="117"/>
                <c:pt idx="0">
                  <c:v>4.340277777777778E-3</c:v>
                </c:pt>
                <c:pt idx="1">
                  <c:v>4.2013888888888891E-3</c:v>
                </c:pt>
                <c:pt idx="2">
                  <c:v>4.1589506172839512E-3</c:v>
                </c:pt>
                <c:pt idx="3">
                  <c:v>4.0885416666666674E-3</c:v>
                </c:pt>
                <c:pt idx="4">
                  <c:v>4.0578703703703714E-3</c:v>
                </c:pt>
                <c:pt idx="5">
                  <c:v>4.0933641975308653E-3</c:v>
                </c:pt>
                <c:pt idx="6">
                  <c:v>4.062500000000001E-3</c:v>
                </c:pt>
                <c:pt idx="7">
                  <c:v>4.0277777777777786E-3</c:v>
                </c:pt>
                <c:pt idx="8">
                  <c:v>3.9943415637860085E-3</c:v>
                </c:pt>
                <c:pt idx="9">
                  <c:v>3.9733796296296305E-3</c:v>
                </c:pt>
                <c:pt idx="10">
                  <c:v>3.9593855218855228E-3</c:v>
                </c:pt>
                <c:pt idx="11">
                  <c:v>4.0422453703703705E-3</c:v>
                </c:pt>
                <c:pt idx="12">
                  <c:v>4.0224358974358977E-3</c:v>
                </c:pt>
                <c:pt idx="13">
                  <c:v>4.0013227513227513E-3</c:v>
                </c:pt>
                <c:pt idx="14">
                  <c:v>3.9907407407407409E-3</c:v>
                </c:pt>
                <c:pt idx="15">
                  <c:v>4.0480324074074073E-3</c:v>
                </c:pt>
                <c:pt idx="16">
                  <c:v>4.0379901960784313E-3</c:v>
                </c:pt>
                <c:pt idx="17">
                  <c:v>4.0380658436213988E-3</c:v>
                </c:pt>
                <c:pt idx="18">
                  <c:v>4.0253411306042887E-3</c:v>
                </c:pt>
                <c:pt idx="19">
                  <c:v>4.0219907407407409E-3</c:v>
                </c:pt>
                <c:pt idx="20">
                  <c:v>4.0139991181657852E-3</c:v>
                </c:pt>
                <c:pt idx="21">
                  <c:v>4.0009469696969703E-3</c:v>
                </c:pt>
                <c:pt idx="22">
                  <c:v>4.0016103059581322E-3</c:v>
                </c:pt>
                <c:pt idx="23">
                  <c:v>3.9935378086419756E-3</c:v>
                </c:pt>
                <c:pt idx="24">
                  <c:v>3.9916666666666668E-3</c:v>
                </c:pt>
                <c:pt idx="25">
                  <c:v>3.9899394586894584E-3</c:v>
                </c:pt>
                <c:pt idx="26">
                  <c:v>3.9806241426611801E-3</c:v>
                </c:pt>
                <c:pt idx="27">
                  <c:v>3.975694444444444E-3</c:v>
                </c:pt>
                <c:pt idx="28">
                  <c:v>3.9906609195402296E-3</c:v>
                </c:pt>
                <c:pt idx="29">
                  <c:v>4.0061728395061726E-3</c:v>
                </c:pt>
                <c:pt idx="30">
                  <c:v>4.0106033452807647E-3</c:v>
                </c:pt>
                <c:pt idx="31">
                  <c:v>4.018012152777777E-3</c:v>
                </c:pt>
                <c:pt idx="32">
                  <c:v>4.0193602693602689E-3</c:v>
                </c:pt>
                <c:pt idx="33">
                  <c:v>4.0202886710239642E-3</c:v>
                </c:pt>
                <c:pt idx="34">
                  <c:v>4.0181878306878296E-3</c:v>
                </c:pt>
                <c:pt idx="35">
                  <c:v>4.0271347736625506E-3</c:v>
                </c:pt>
                <c:pt idx="36">
                  <c:v>4.0343468468468455E-3</c:v>
                </c:pt>
                <c:pt idx="37">
                  <c:v>4.0323464912280695E-3</c:v>
                </c:pt>
                <c:pt idx="38">
                  <c:v>4.037571225071224E-3</c:v>
                </c:pt>
                <c:pt idx="39">
                  <c:v>4.0358796296296288E-3</c:v>
                </c:pt>
                <c:pt idx="40">
                  <c:v>4.034552845528454E-3</c:v>
                </c:pt>
                <c:pt idx="41">
                  <c:v>4.0335648148148136E-3</c:v>
                </c:pt>
                <c:pt idx="42">
                  <c:v>4.0374677002583967E-3</c:v>
                </c:pt>
                <c:pt idx="43">
                  <c:v>4.0343539562289546E-3</c:v>
                </c:pt>
                <c:pt idx="44">
                  <c:v>4.0424382716049371E-3</c:v>
                </c:pt>
                <c:pt idx="45">
                  <c:v>4.0479066022544273E-3</c:v>
                </c:pt>
                <c:pt idx="46">
                  <c:v>4.0460007880220635E-3</c:v>
                </c:pt>
                <c:pt idx="47">
                  <c:v>4.0482735339506162E-3</c:v>
                </c:pt>
                <c:pt idx="48">
                  <c:v>4.0452569916855615E-3</c:v>
                </c:pt>
                <c:pt idx="49">
                  <c:v>4.0432870370370353E-3</c:v>
                </c:pt>
                <c:pt idx="50">
                  <c:v>4.0413943355119804E-3</c:v>
                </c:pt>
                <c:pt idx="51">
                  <c:v>4.0489227207977192E-3</c:v>
                </c:pt>
                <c:pt idx="52">
                  <c:v>4.0504891684136953E-3</c:v>
                </c:pt>
                <c:pt idx="53">
                  <c:v>4.0459962277091888E-3</c:v>
                </c:pt>
                <c:pt idx="54">
                  <c:v>4.0469276094276078E-3</c:v>
                </c:pt>
                <c:pt idx="55">
                  <c:v>4.044518849206348E-3</c:v>
                </c:pt>
                <c:pt idx="56">
                  <c:v>4.0430068226120844E-3</c:v>
                </c:pt>
                <c:pt idx="57">
                  <c:v>4.0391522988505735E-3</c:v>
                </c:pt>
                <c:pt idx="58">
                  <c:v>4.0350360954174505E-3</c:v>
                </c:pt>
                <c:pt idx="59">
                  <c:v>4.0297067901234555E-3</c:v>
                </c:pt>
                <c:pt idx="60">
                  <c:v>4.0279675166970241E-3</c:v>
                </c:pt>
                <c:pt idx="61">
                  <c:v>4.0283378136200705E-3</c:v>
                </c:pt>
                <c:pt idx="62">
                  <c:v>4.0253894767783649E-3</c:v>
                </c:pt>
                <c:pt idx="63">
                  <c:v>4.0221715856481469E-3</c:v>
                </c:pt>
                <c:pt idx="64">
                  <c:v>4.017628205128204E-3</c:v>
                </c:pt>
                <c:pt idx="65">
                  <c:v>4.0132225028058346E-3</c:v>
                </c:pt>
                <c:pt idx="66">
                  <c:v>4.0113667772249846E-3</c:v>
                </c:pt>
                <c:pt idx="67">
                  <c:v>4.0070125272331147E-3</c:v>
                </c:pt>
                <c:pt idx="68">
                  <c:v>4.0071457326892098E-3</c:v>
                </c:pt>
                <c:pt idx="69">
                  <c:v>4.0036375661375648E-3</c:v>
                </c:pt>
                <c:pt idx="70">
                  <c:v>4.00088028169014E-3</c:v>
                </c:pt>
                <c:pt idx="71">
                  <c:v>3.9964313271604931E-3</c:v>
                </c:pt>
                <c:pt idx="72">
                  <c:v>3.9955923389142561E-3</c:v>
                </c:pt>
                <c:pt idx="73">
                  <c:v>3.9907094594594595E-3</c:v>
                </c:pt>
                <c:pt idx="74">
                  <c:v>3.9887345679012346E-3</c:v>
                </c:pt>
                <c:pt idx="75">
                  <c:v>3.9860501949317735E-3</c:v>
                </c:pt>
                <c:pt idx="76">
                  <c:v>3.9840367965367964E-3</c:v>
                </c:pt>
                <c:pt idx="77">
                  <c:v>3.9816298670465339E-3</c:v>
                </c:pt>
                <c:pt idx="78">
                  <c:v>3.9773792780121893E-3</c:v>
                </c:pt>
                <c:pt idx="79">
                  <c:v>3.9733796296296297E-3</c:v>
                </c:pt>
                <c:pt idx="80">
                  <c:v>3.9706218564243253E-3</c:v>
                </c:pt>
                <c:pt idx="81">
                  <c:v>3.965955284552845E-3</c:v>
                </c:pt>
                <c:pt idx="82">
                  <c:v>3.9633534136546177E-3</c:v>
                </c:pt>
                <c:pt idx="83">
                  <c:v>3.9615024250440915E-3</c:v>
                </c:pt>
                <c:pt idx="84">
                  <c:v>3.9641884531590411E-3</c:v>
                </c:pt>
                <c:pt idx="85">
                  <c:v>3.9616978897502155E-3</c:v>
                </c:pt>
                <c:pt idx="86">
                  <c:v>3.9554065559812687E-3</c:v>
                </c:pt>
                <c:pt idx="87">
                  <c:v>3.9566235269360272E-3</c:v>
                </c:pt>
                <c:pt idx="88">
                  <c:v>3.9559925093632965E-3</c:v>
                </c:pt>
                <c:pt idx="89">
                  <c:v>3.9539609053497946E-3</c:v>
                </c:pt>
                <c:pt idx="90">
                  <c:v>3.9559167684167689E-3</c:v>
                </c:pt>
                <c:pt idx="91">
                  <c:v>3.9556914251207735E-3</c:v>
                </c:pt>
                <c:pt idx="92">
                  <c:v>3.9536041417761849E-3</c:v>
                </c:pt>
                <c:pt idx="93">
                  <c:v>3.9516843971631214E-3</c:v>
                </c:pt>
                <c:pt idx="94">
                  <c:v>3.956140350877194E-3</c:v>
                </c:pt>
                <c:pt idx="95">
                  <c:v>3.9576099537037045E-3</c:v>
                </c:pt>
                <c:pt idx="96">
                  <c:v>3.9588106147384504E-3</c:v>
                </c:pt>
                <c:pt idx="97">
                  <c:v>3.9551445578231295E-3</c:v>
                </c:pt>
                <c:pt idx="98">
                  <c:v>3.9494481855592975E-3</c:v>
                </c:pt>
                <c:pt idx="99">
                  <c:v>3.9464120370370373E-3</c:v>
                </c:pt>
                <c:pt idx="100">
                  <c:v>3.9444673634030075E-3</c:v>
                </c:pt>
                <c:pt idx="101">
                  <c:v>3.9416530501089325E-3</c:v>
                </c:pt>
                <c:pt idx="102">
                  <c:v>3.9391181229773463E-3</c:v>
                </c:pt>
                <c:pt idx="103">
                  <c:v>3.9394141737891736E-3</c:v>
                </c:pt>
                <c:pt idx="104">
                  <c:v>3.9372795414462083E-3</c:v>
                </c:pt>
                <c:pt idx="105">
                  <c:v>3.9347484276729561E-3</c:v>
                </c:pt>
                <c:pt idx="106">
                  <c:v>3.9336708203530635E-3</c:v>
                </c:pt>
                <c:pt idx="107">
                  <c:v>3.9351851851851848E-3</c:v>
                </c:pt>
                <c:pt idx="108">
                  <c:v>3.9343357118586482E-3</c:v>
                </c:pt>
                <c:pt idx="109">
                  <c:v>3.9313973063973065E-3</c:v>
                </c:pt>
                <c:pt idx="110">
                  <c:v>3.9283033033033037E-3</c:v>
                </c:pt>
                <c:pt idx="111">
                  <c:v>3.9256779100529104E-3</c:v>
                </c:pt>
                <c:pt idx="112">
                  <c:v>3.921869878728286E-3</c:v>
                </c:pt>
                <c:pt idx="113">
                  <c:v>3.9176210201429503E-3</c:v>
                </c:pt>
                <c:pt idx="114">
                  <c:v>3.9158615136876008E-3</c:v>
                </c:pt>
                <c:pt idx="115">
                  <c:v>3.9130348020434231E-3</c:v>
                </c:pt>
                <c:pt idx="116">
                  <c:v>3.9088714783159237E-3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F-490A-A8DA-1CD51112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548520"/>
        <c:axId val="502551800"/>
      </c:lineChart>
      <c:catAx>
        <c:axId val="50254852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Day</a:t>
                </a:r>
              </a:p>
            </c:rich>
          </c:tx>
          <c:layout>
            <c:manualLayout>
              <c:xMode val="edge"/>
              <c:yMode val="edge"/>
              <c:x val="0.46741422745399291"/>
              <c:y val="0.90501174960387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51800"/>
        <c:crosses val="autoZero"/>
        <c:auto val="1"/>
        <c:lblAlgn val="ctr"/>
        <c:lblOffset val="150"/>
        <c:tickLblSkip val="7"/>
        <c:noMultiLvlLbl val="0"/>
      </c:catAx>
      <c:valAx>
        <c:axId val="5025518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Pace</a:t>
                </a:r>
                <a:r>
                  <a:rPr lang="en-US" sz="1400" baseline="0"/>
                  <a:t> (min/km)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1901136102606973E-2"/>
              <c:y val="0.263934970633436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4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4092304100434"/>
          <c:y val="0.4156965921681221"/>
          <c:w val="0.14433315634684832"/>
          <c:h val="0.15957570378489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5k_pace_daily</a:t>
            </a:r>
          </a:p>
        </c:rich>
      </c:tx>
      <c:layout>
        <c:manualLayout>
          <c:xMode val="edge"/>
          <c:yMode val="edge"/>
          <c:x val="0.39385727995197134"/>
          <c:y val="1.626013414989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4135074574822"/>
          <c:y val="0.1162111402741324"/>
          <c:w val="0.65592880866923153"/>
          <c:h val="0.68526266306263961"/>
        </c:manualLayout>
      </c:layout>
      <c:lineChart>
        <c:grouping val="standard"/>
        <c:varyColors val="0"/>
        <c:ser>
          <c:idx val="0"/>
          <c:order val="0"/>
          <c:tx>
            <c:strRef>
              <c:f>PSN!$I$1</c:f>
              <c:strCache>
                <c:ptCount val="1"/>
                <c:pt idx="0">
                  <c:v>5k_pace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name>Trendline_5k_pace</c:name>
            <c:spPr>
              <a:ln w="12700" cap="rnd" cmpd="sng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trendlineType val="linear"/>
            <c:dispRSqr val="0"/>
            <c:dispEq val="0"/>
          </c:trendline>
          <c:val>
            <c:numRef>
              <c:f>PSN!$I$2:$I$118</c:f>
              <c:numCache>
                <c:formatCode>m:ss</c:formatCode>
                <c:ptCount val="117"/>
                <c:pt idx="0">
                  <c:v>4.340277777777778E-3</c:v>
                </c:pt>
                <c:pt idx="1">
                  <c:v>4.0625000000000001E-3</c:v>
                </c:pt>
                <c:pt idx="2">
                  <c:v>4.0740740740740746E-3</c:v>
                </c:pt>
                <c:pt idx="3">
                  <c:v>3.8773148148148148E-3</c:v>
                </c:pt>
                <c:pt idx="4">
                  <c:v>3.9351851851851857E-3</c:v>
                </c:pt>
                <c:pt idx="5">
                  <c:v>4.2708333333333339E-3</c:v>
                </c:pt>
                <c:pt idx="6">
                  <c:v>3.8773148148148148E-3</c:v>
                </c:pt>
                <c:pt idx="7">
                  <c:v>3.7847222222222223E-3</c:v>
                </c:pt>
                <c:pt idx="8">
                  <c:v>3.7268518518518514E-3</c:v>
                </c:pt>
                <c:pt idx="9">
                  <c:v>3.7847222222222223E-3</c:v>
                </c:pt>
                <c:pt idx="10">
                  <c:v>3.8194444444444443E-3</c:v>
                </c:pt>
                <c:pt idx="11">
                  <c:v>4.9537037037037041E-3</c:v>
                </c:pt>
                <c:pt idx="12">
                  <c:v>3.7847222222222223E-3</c:v>
                </c:pt>
                <c:pt idx="13">
                  <c:v>3.7268518518518514E-3</c:v>
                </c:pt>
                <c:pt idx="14">
                  <c:v>3.8425925925925923E-3</c:v>
                </c:pt>
                <c:pt idx="15">
                  <c:v>4.9074074074074072E-3</c:v>
                </c:pt>
                <c:pt idx="16">
                  <c:v>3.8773148148148148E-3</c:v>
                </c:pt>
                <c:pt idx="17">
                  <c:v>4.0393518518518513E-3</c:v>
                </c:pt>
                <c:pt idx="18">
                  <c:v>3.7962962962962963E-3</c:v>
                </c:pt>
                <c:pt idx="19">
                  <c:v>3.9583333333333337E-3</c:v>
                </c:pt>
                <c:pt idx="20">
                  <c:v>3.8541666666666663E-3</c:v>
                </c:pt>
                <c:pt idx="21">
                  <c:v>3.7268518518518514E-3</c:v>
                </c:pt>
                <c:pt idx="22">
                  <c:v>4.0162037037037033E-3</c:v>
                </c:pt>
                <c:pt idx="23">
                  <c:v>3.8078703703703703E-3</c:v>
                </c:pt>
                <c:pt idx="24">
                  <c:v>3.9467592592592592E-3</c:v>
                </c:pt>
                <c:pt idx="25">
                  <c:v>3.9467592592592592E-3</c:v>
                </c:pt>
                <c:pt idx="26">
                  <c:v>3.7384259259259263E-3</c:v>
                </c:pt>
                <c:pt idx="27">
                  <c:v>3.8425925925925923E-3</c:v>
                </c:pt>
                <c:pt idx="28">
                  <c:v>4.409722222222222E-3</c:v>
                </c:pt>
                <c:pt idx="29">
                  <c:v>4.4560185185185189E-3</c:v>
                </c:pt>
                <c:pt idx="30">
                  <c:v>4.1435185185185186E-3</c:v>
                </c:pt>
                <c:pt idx="31">
                  <c:v>4.2476851851851851E-3</c:v>
                </c:pt>
                <c:pt idx="32">
                  <c:v>4.0625000000000001E-3</c:v>
                </c:pt>
                <c:pt idx="33">
                  <c:v>4.0509259259259257E-3</c:v>
                </c:pt>
                <c:pt idx="34">
                  <c:v>3.9467592592592592E-3</c:v>
                </c:pt>
                <c:pt idx="35">
                  <c:v>4.340277777777778E-3</c:v>
                </c:pt>
                <c:pt idx="36">
                  <c:v>4.293981481481482E-3</c:v>
                </c:pt>
                <c:pt idx="37">
                  <c:v>3.9583333333333337E-3</c:v>
                </c:pt>
                <c:pt idx="38">
                  <c:v>4.2361111111111106E-3</c:v>
                </c:pt>
                <c:pt idx="39">
                  <c:v>3.9699074074074072E-3</c:v>
                </c:pt>
                <c:pt idx="40">
                  <c:v>3.9814814814814817E-3</c:v>
                </c:pt>
                <c:pt idx="41">
                  <c:v>3.9930555555555552E-3</c:v>
                </c:pt>
                <c:pt idx="42">
                  <c:v>4.2013888888888891E-3</c:v>
                </c:pt>
                <c:pt idx="43">
                  <c:v>3.9004629629629632E-3</c:v>
                </c:pt>
                <c:pt idx="44">
                  <c:v>4.3981481481481476E-3</c:v>
                </c:pt>
                <c:pt idx="45">
                  <c:v>4.293981481481482E-3</c:v>
                </c:pt>
                <c:pt idx="46">
                  <c:v>3.9583333333333337E-3</c:v>
                </c:pt>
                <c:pt idx="47">
                  <c:v>4.155092592592593E-3</c:v>
                </c:pt>
                <c:pt idx="48">
                  <c:v>3.9004629629629632E-3</c:v>
                </c:pt>
                <c:pt idx="49">
                  <c:v>3.9467592592592592E-3</c:v>
                </c:pt>
                <c:pt idx="50">
                  <c:v>3.9467592592592592E-3</c:v>
                </c:pt>
                <c:pt idx="51">
                  <c:v>4.4328703703703709E-3</c:v>
                </c:pt>
                <c:pt idx="52">
                  <c:v>4.1319444444444442E-3</c:v>
                </c:pt>
                <c:pt idx="53">
                  <c:v>3.8078703703703703E-3</c:v>
                </c:pt>
                <c:pt idx="54">
                  <c:v>4.0972222222222226E-3</c:v>
                </c:pt>
                <c:pt idx="55">
                  <c:v>3.9120370370370368E-3</c:v>
                </c:pt>
                <c:pt idx="56">
                  <c:v>3.9583333333333337E-3</c:v>
                </c:pt>
                <c:pt idx="57">
                  <c:v>3.8194444444444443E-3</c:v>
                </c:pt>
                <c:pt idx="58">
                  <c:v>3.7962962962962963E-3</c:v>
                </c:pt>
                <c:pt idx="59">
                  <c:v>3.7152777777777774E-3</c:v>
                </c:pt>
                <c:pt idx="60">
                  <c:v>3.9236111111111112E-3</c:v>
                </c:pt>
                <c:pt idx="61">
                  <c:v>4.0509259259259257E-3</c:v>
                </c:pt>
                <c:pt idx="62">
                  <c:v>3.8425925925925923E-3</c:v>
                </c:pt>
                <c:pt idx="63">
                  <c:v>3.8194444444444443E-3</c:v>
                </c:pt>
                <c:pt idx="64">
                  <c:v>3.7268518518518514E-3</c:v>
                </c:pt>
                <c:pt idx="65">
                  <c:v>3.7268518518518514E-3</c:v>
                </c:pt>
                <c:pt idx="66">
                  <c:v>3.8888888888888888E-3</c:v>
                </c:pt>
                <c:pt idx="67">
                  <c:v>3.7152777777777774E-3</c:v>
                </c:pt>
                <c:pt idx="68">
                  <c:v>4.0162037037037033E-3</c:v>
                </c:pt>
                <c:pt idx="69">
                  <c:v>3.7615740740740743E-3</c:v>
                </c:pt>
                <c:pt idx="70">
                  <c:v>3.8078703703703703E-3</c:v>
                </c:pt>
                <c:pt idx="71">
                  <c:v>3.6805555555555554E-3</c:v>
                </c:pt>
                <c:pt idx="72">
                  <c:v>3.9351851851851857E-3</c:v>
                </c:pt>
                <c:pt idx="73">
                  <c:v>3.6342592592592594E-3</c:v>
                </c:pt>
                <c:pt idx="74">
                  <c:v>3.8425925925925923E-3</c:v>
                </c:pt>
                <c:pt idx="75">
                  <c:v>3.7847222222222223E-3</c:v>
                </c:pt>
                <c:pt idx="76">
                  <c:v>3.8310185185185183E-3</c:v>
                </c:pt>
                <c:pt idx="77">
                  <c:v>3.7962962962962963E-3</c:v>
                </c:pt>
                <c:pt idx="78">
                  <c:v>3.6458333333333334E-3</c:v>
                </c:pt>
                <c:pt idx="79">
                  <c:v>3.6574074074074074E-3</c:v>
                </c:pt>
                <c:pt idx="80">
                  <c:v>3.7500000000000003E-3</c:v>
                </c:pt>
                <c:pt idx="81">
                  <c:v>3.5879629629629634E-3</c:v>
                </c:pt>
                <c:pt idx="82">
                  <c:v>3.7500000000000003E-3</c:v>
                </c:pt>
                <c:pt idx="83">
                  <c:v>3.8078703703703703E-3</c:v>
                </c:pt>
                <c:pt idx="84">
                  <c:v>4.1898148148148146E-3</c:v>
                </c:pt>
                <c:pt idx="85">
                  <c:v>3.7500000000000003E-3</c:v>
                </c:pt>
                <c:pt idx="86">
                  <c:v>3.414351851851852E-3</c:v>
                </c:pt>
                <c:pt idx="87">
                  <c:v>4.0625000000000001E-3</c:v>
                </c:pt>
                <c:pt idx="88">
                  <c:v>3.9004629629629632E-3</c:v>
                </c:pt>
                <c:pt idx="89">
                  <c:v>3.7731481481481483E-3</c:v>
                </c:pt>
                <c:pt idx="90">
                  <c:v>4.1319444444444442E-3</c:v>
                </c:pt>
                <c:pt idx="91">
                  <c:v>3.9351851851851857E-3</c:v>
                </c:pt>
                <c:pt idx="92">
                  <c:v>3.7615740740740743E-3</c:v>
                </c:pt>
                <c:pt idx="93">
                  <c:v>3.7731481481481483E-3</c:v>
                </c:pt>
                <c:pt idx="94">
                  <c:v>4.3749999999999995E-3</c:v>
                </c:pt>
                <c:pt idx="95">
                  <c:v>4.0972222222222226E-3</c:v>
                </c:pt>
                <c:pt idx="96">
                  <c:v>4.0740740740740746E-3</c:v>
                </c:pt>
                <c:pt idx="97">
                  <c:v>3.5995370370370374E-3</c:v>
                </c:pt>
                <c:pt idx="98">
                  <c:v>3.3912037037037036E-3</c:v>
                </c:pt>
                <c:pt idx="99">
                  <c:v>3.6458333333333334E-3</c:v>
                </c:pt>
                <c:pt idx="100">
                  <c:v>3.7500000000000003E-3</c:v>
                </c:pt>
                <c:pt idx="101">
                  <c:v>3.6574074074074074E-3</c:v>
                </c:pt>
                <c:pt idx="102">
                  <c:v>3.6805555555555554E-3</c:v>
                </c:pt>
                <c:pt idx="103">
                  <c:v>3.9699074074074072E-3</c:v>
                </c:pt>
                <c:pt idx="104">
                  <c:v>3.7152777777777774E-3</c:v>
                </c:pt>
                <c:pt idx="105">
                  <c:v>3.6689814814814814E-3</c:v>
                </c:pt>
                <c:pt idx="106">
                  <c:v>3.8194444444444443E-3</c:v>
                </c:pt>
                <c:pt idx="107">
                  <c:v>4.0972222222222226E-3</c:v>
                </c:pt>
                <c:pt idx="108">
                  <c:v>3.8425925925925923E-3</c:v>
                </c:pt>
                <c:pt idx="109">
                  <c:v>3.6111111111111114E-3</c:v>
                </c:pt>
                <c:pt idx="110">
                  <c:v>3.5879629629629634E-3</c:v>
                </c:pt>
                <c:pt idx="111">
                  <c:v>3.6342592592592594E-3</c:v>
                </c:pt>
                <c:pt idx="112">
                  <c:v>3.4953703703703705E-3</c:v>
                </c:pt>
                <c:pt idx="113">
                  <c:v>3.4375E-3</c:v>
                </c:pt>
                <c:pt idx="114">
                  <c:v>3.7152777777777774E-3</c:v>
                </c:pt>
                <c:pt idx="115">
                  <c:v>3.5879629629629634E-3</c:v>
                </c:pt>
                <c:pt idx="116">
                  <c:v>3.425925925925926E-3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5-4409-B3F4-66A6156016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1724800"/>
        <c:axId val="531721520"/>
      </c:lineChart>
      <c:catAx>
        <c:axId val="53172480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Day</a:t>
                </a:r>
              </a:p>
            </c:rich>
          </c:tx>
          <c:layout>
            <c:manualLayout>
              <c:xMode val="edge"/>
              <c:yMode val="edge"/>
              <c:x val="0.42017957333194572"/>
              <c:y val="0.91809519236924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21520"/>
        <c:crosses val="autoZero"/>
        <c:auto val="1"/>
        <c:lblAlgn val="ctr"/>
        <c:lblOffset val="200"/>
        <c:tickLblSkip val="7"/>
        <c:noMultiLvlLbl val="0"/>
      </c:catAx>
      <c:valAx>
        <c:axId val="531721520"/>
        <c:scaling>
          <c:orientation val="maxMin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Pace</a:t>
                </a:r>
                <a:r>
                  <a:rPr lang="en-US" sz="1400" baseline="0"/>
                  <a:t> (min/km)</a:t>
                </a:r>
              </a:p>
            </c:rich>
          </c:tx>
          <c:layout>
            <c:manualLayout>
              <c:xMode val="edge"/>
              <c:yMode val="edge"/>
              <c:x val="2.3744477763998507E-2"/>
              <c:y val="0.22691863517060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24800"/>
        <c:crosses val="autoZero"/>
        <c:crossBetween val="between"/>
      </c:valAx>
      <c:spPr>
        <a:noFill/>
        <a:ln w="0" cap="flat" cmpd="sng">
          <a:solidFill>
            <a:schemeClr val="tx1">
              <a:lumMod val="95000"/>
              <a:lumOff val="5000"/>
            </a:schemeClr>
          </a:solidFill>
          <a:round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1368858833909941"/>
          <c:y val="0.2656654029357442"/>
          <c:w val="0.14905495338253733"/>
          <c:h val="0.42509451302814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slowest_pace/month</a:t>
            </a:r>
          </a:p>
        </c:rich>
      </c:tx>
      <c:layout>
        <c:manualLayout>
          <c:xMode val="edge"/>
          <c:yMode val="edge"/>
          <c:x val="0.34891450073165631"/>
          <c:y val="9.91326285289654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4985648723734"/>
          <c:y val="0.12013313433954252"/>
          <c:w val="0.63367386768961576"/>
          <c:h val="0.66636484554043685"/>
        </c:manualLayout>
      </c:layout>
      <c:lineChart>
        <c:grouping val="standard"/>
        <c:varyColors val="0"/>
        <c:ser>
          <c:idx val="2"/>
          <c:order val="2"/>
          <c:tx>
            <c:strRef>
              <c:f>Monthly_Analysis!$D$1</c:f>
              <c:strCache>
                <c:ptCount val="1"/>
                <c:pt idx="0">
                  <c:v>s/km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  <c:extLst xmlns:c15="http://schemas.microsoft.com/office/drawing/2012/chart"/>
            </c:strRef>
          </c:cat>
          <c:val>
            <c:numRef>
              <c:f>Monthly_Analysis!$D$2:$D$7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8EC-4B31-B8A8-360ACD3278F3}"/>
            </c:ext>
          </c:extLst>
        </c:ser>
        <c:ser>
          <c:idx val="4"/>
          <c:order val="4"/>
          <c:tx>
            <c:strRef>
              <c:f>Monthly_Analysis!$F$1</c:f>
              <c:strCache>
                <c:ptCount val="1"/>
                <c:pt idx="0">
                  <c:v>slowest_pace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Monthly_Analysis!$F$2:$F$7</c:f>
              <c:numCache>
                <c:formatCode>m:ss\ "min/km"</c:formatCode>
                <c:ptCount val="6"/>
                <c:pt idx="0">
                  <c:v>4.9537037037037041E-3</c:v>
                </c:pt>
                <c:pt idx="1">
                  <c:v>4.4560185185185189E-3</c:v>
                </c:pt>
                <c:pt idx="2">
                  <c:v>4.0972222222222226E-3</c:v>
                </c:pt>
                <c:pt idx="3">
                  <c:v>4.1898148148148146E-3</c:v>
                </c:pt>
                <c:pt idx="4">
                  <c:v>4.3749999999999995E-3</c:v>
                </c:pt>
                <c:pt idx="5">
                  <c:v>4.0972222222222226E-3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C-4B31-B8A8-360ACD32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47096"/>
        <c:axId val="5001477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Monthly_Analysis!$B$1</c15:sqref>
                        </c15:formulaRef>
                      </c:ext>
                    </c:extLst>
                    <c:strCache>
                      <c:ptCount val="1"/>
                      <c:pt idx="0">
                        <c:v>5k_Runs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Monthly_Analysis!$B$2:$B$7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22</c:v>
                      </c:pt>
                      <c:pt idx="3">
                        <c:v>12</c:v>
                      </c:pt>
                      <c:pt idx="4">
                        <c:v>19</c:v>
                      </c:pt>
                      <c:pt idx="5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EC-4B31-B8A8-360ACD3278F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Monthly_Analysis!$C$1</c15:sqref>
                        </c15:formulaRef>
                      </c:ext>
                    </c:extLst>
                    <c:strCache>
                      <c:ptCount val="1"/>
                      <c:pt idx="0">
                        <c:v>Average_5k_time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5.7455128205128201</c:v>
                      </c:pt>
                      <c:pt idx="1">
                        <c:v>5.916666666666667</c:v>
                      </c:pt>
                      <c:pt idx="2">
                        <c:v>5.5295454545454543</c:v>
                      </c:pt>
                      <c:pt idx="3">
                        <c:v>5.395833333333333</c:v>
                      </c:pt>
                      <c:pt idx="4">
                        <c:v>5.5298245614035091</c:v>
                      </c:pt>
                      <c:pt idx="5">
                        <c:v>5.2696969696969695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EC-4B31-B8A8-360ACD3278F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Monthly_Analysis!$E$1</c15:sqref>
                        </c15:formulaRef>
                      </c:ext>
                    </c:extLst>
                    <c:strCache>
                      <c:ptCount val="1"/>
                      <c:pt idx="0">
                        <c:v>highest_ pace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Monthly_Analysis!$E$2:$E$7</c15:sqref>
                        </c15:formulaRef>
                      </c:ext>
                    </c:extLst>
                    <c:numCache>
                      <c:formatCode>m:ss\ "min/km"</c:formatCode>
                      <c:ptCount val="6"/>
                      <c:pt idx="0">
                        <c:v>3.7268518518518514E-3</c:v>
                      </c:pt>
                      <c:pt idx="1">
                        <c:v>3.7384259259259263E-3</c:v>
                      </c:pt>
                      <c:pt idx="2">
                        <c:v>3.6342592592592594E-3</c:v>
                      </c:pt>
                      <c:pt idx="3">
                        <c:v>3.414351851851852E-3</c:v>
                      </c:pt>
                      <c:pt idx="4">
                        <c:v>3.3912037037037036E-3</c:v>
                      </c:pt>
                      <c:pt idx="5">
                        <c:v>3.425925925925926E-3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EC-4B31-B8A8-360ACD3278F3}"/>
                  </c:ext>
                </c:extLst>
              </c15:ser>
            </c15:filteredLineSeries>
          </c:ext>
        </c:extLst>
      </c:lineChart>
      <c:catAx>
        <c:axId val="500147096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Month</a:t>
                </a:r>
              </a:p>
            </c:rich>
          </c:tx>
          <c:layout>
            <c:manualLayout>
              <c:xMode val="edge"/>
              <c:yMode val="edge"/>
              <c:x val="0.4367208789166841"/>
              <c:y val="0.89050801178975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47752"/>
        <c:crosses val="autoZero"/>
        <c:auto val="1"/>
        <c:lblAlgn val="ctr"/>
        <c:lblOffset val="200"/>
        <c:noMultiLvlLbl val="0"/>
      </c:catAx>
      <c:valAx>
        <c:axId val="5001477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Pace</a:t>
                </a:r>
                <a:r>
                  <a:rPr lang="en-US" sz="1400" baseline="0"/>
                  <a:t> (min/km)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\ &quot;min/k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47096"/>
        <c:crosses val="autoZero"/>
        <c:crossBetween val="between"/>
      </c:valAx>
      <c:spPr>
        <a:noFill/>
        <a:ln cmpd="sng"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2059058856959122"/>
          <c:y val="0.28341198895959135"/>
          <c:w val="0.15703374685001981"/>
          <c:h val="0.37283040046459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4"/>
          <c:order val="2"/>
          <c:tx>
            <c:strRef>
              <c:f>Monthly_Analysis!$D$1</c:f>
              <c:strCache>
                <c:ptCount val="1"/>
                <c:pt idx="0">
                  <c:v>s/km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  <c:extLst xmlns:c15="http://schemas.microsoft.com/office/drawing/2012/chart"/>
            </c:strRef>
          </c:cat>
          <c:val>
            <c:numRef>
              <c:f>Monthly_Analysis!$D$2:$D$7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0CE-4B50-8738-0E76B4B4051D}"/>
            </c:ext>
          </c:extLst>
        </c:ser>
        <c:ser>
          <c:idx val="0"/>
          <c:order val="3"/>
          <c:tx>
            <c:strRef>
              <c:f>Monthly_Analysis!$E$1</c:f>
              <c:strCache>
                <c:ptCount val="1"/>
                <c:pt idx="0">
                  <c:v>highest_ pace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Monthly_Analysis!$E$2:$E$7</c:f>
              <c:numCache>
                <c:formatCode>m:ss\ "min/km"</c:formatCode>
                <c:ptCount val="6"/>
                <c:pt idx="0">
                  <c:v>3.7268518518518514E-3</c:v>
                </c:pt>
                <c:pt idx="1">
                  <c:v>3.7384259259259263E-3</c:v>
                </c:pt>
                <c:pt idx="2">
                  <c:v>3.6342592592592594E-3</c:v>
                </c:pt>
                <c:pt idx="3">
                  <c:v>3.414351851851852E-3</c:v>
                </c:pt>
                <c:pt idx="4">
                  <c:v>3.3912037037037036E-3</c:v>
                </c:pt>
                <c:pt idx="5">
                  <c:v>3.425925925925926E-3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E-4B50-8738-0E76B4B4051D}"/>
            </c:ext>
          </c:extLst>
        </c:ser>
        <c:ser>
          <c:idx val="2"/>
          <c:order val="4"/>
          <c:tx>
            <c:strRef>
              <c:f>Monthly_Analysis!$F$1</c:f>
              <c:strCache>
                <c:ptCount val="1"/>
                <c:pt idx="0">
                  <c:v>slowest_pace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Monthly_Analysis!$F$2:$F$7</c:f>
              <c:numCache>
                <c:formatCode>m:ss\ "min/km"</c:formatCode>
                <c:ptCount val="6"/>
                <c:pt idx="0">
                  <c:v>4.9537037037037041E-3</c:v>
                </c:pt>
                <c:pt idx="1">
                  <c:v>4.4560185185185189E-3</c:v>
                </c:pt>
                <c:pt idx="2">
                  <c:v>4.0972222222222226E-3</c:v>
                </c:pt>
                <c:pt idx="3">
                  <c:v>4.1898148148148146E-3</c:v>
                </c:pt>
                <c:pt idx="4">
                  <c:v>4.3749999999999995E-3</c:v>
                </c:pt>
                <c:pt idx="5">
                  <c:v>4.0972222222222226E-3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CE-4B50-8738-0E76B4B40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687536"/>
        <c:axId val="46668458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Monthly_Analysis!$B$1</c15:sqref>
                        </c15:formulaRef>
                      </c:ext>
                    </c:extLst>
                    <c:strCache>
                      <c:ptCount val="1"/>
                      <c:pt idx="0">
                        <c:v>5k_Runs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Monthly_Analysis!$B$2:$B$7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22</c:v>
                      </c:pt>
                      <c:pt idx="3">
                        <c:v>12</c:v>
                      </c:pt>
                      <c:pt idx="4">
                        <c:v>19</c:v>
                      </c:pt>
                      <c:pt idx="5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0CE-4B50-8738-0E76B4B4051D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Monthly_Analysis!$C$1</c15:sqref>
                        </c15:formulaRef>
                      </c:ext>
                    </c:extLst>
                    <c:strCache>
                      <c:ptCount val="1"/>
                      <c:pt idx="0">
                        <c:v>Average_5k_time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prstDash val="solid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5.7455128205128201</c:v>
                      </c:pt>
                      <c:pt idx="1">
                        <c:v>5.916666666666667</c:v>
                      </c:pt>
                      <c:pt idx="2">
                        <c:v>5.5295454545454543</c:v>
                      </c:pt>
                      <c:pt idx="3">
                        <c:v>5.395833333333333</c:v>
                      </c:pt>
                      <c:pt idx="4">
                        <c:v>5.5298245614035091</c:v>
                      </c:pt>
                      <c:pt idx="5">
                        <c:v>5.2696969696969695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0CE-4B50-8738-0E76B4B4051D}"/>
                  </c:ext>
                </c:extLst>
              </c15:ser>
            </c15:filteredLineSeries>
          </c:ext>
        </c:extLst>
      </c:lineChart>
      <c:catAx>
        <c:axId val="46668753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84584"/>
        <c:crosses val="autoZero"/>
        <c:auto val="1"/>
        <c:lblAlgn val="ctr"/>
        <c:lblOffset val="100"/>
        <c:noMultiLvlLbl val="0"/>
      </c:catAx>
      <c:valAx>
        <c:axId val="466684584"/>
        <c:scaling>
          <c:orientation val="maxMin"/>
          <c:min val="2.99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:ss\ &quot;min/k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87536"/>
        <c:crosses val="autoZero"/>
        <c:crossBetween val="between"/>
        <c:majorUnit val="3.500000000000001E-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>
        <c:manualLayout>
          <c:xMode val="edge"/>
          <c:yMode val="edge"/>
          <c:x val="0.40982297585829031"/>
          <c:y val="1.4184407724657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7336729967575"/>
          <c:y val="6.7185001874765657E-2"/>
          <c:w val="0.72136904694660653"/>
          <c:h val="0.40007444202391418"/>
        </c:manualLayout>
      </c:layout>
      <c:lineChart>
        <c:grouping val="standard"/>
        <c:varyColors val="0"/>
        <c:ser>
          <c:idx val="0"/>
          <c:order val="0"/>
          <c:tx>
            <c:strRef>
              <c:f>PSN!$J$1</c:f>
              <c:strCache>
                <c:ptCount val="1"/>
                <c:pt idx="0">
                  <c:v>running_avg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Trend line</c:nam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val>
            <c:numRef>
              <c:f>PSN!$J$2:$J$118</c:f>
              <c:numCache>
                <c:formatCode>m:ss</c:formatCode>
                <c:ptCount val="117"/>
                <c:pt idx="0">
                  <c:v>4.340277777777778E-3</c:v>
                </c:pt>
                <c:pt idx="1">
                  <c:v>4.2013888888888891E-3</c:v>
                </c:pt>
                <c:pt idx="2">
                  <c:v>4.1589506172839512E-3</c:v>
                </c:pt>
                <c:pt idx="3">
                  <c:v>4.0885416666666674E-3</c:v>
                </c:pt>
                <c:pt idx="4">
                  <c:v>4.0578703703703714E-3</c:v>
                </c:pt>
                <c:pt idx="5">
                  <c:v>4.0933641975308653E-3</c:v>
                </c:pt>
                <c:pt idx="6">
                  <c:v>4.062500000000001E-3</c:v>
                </c:pt>
                <c:pt idx="7">
                  <c:v>4.0277777777777786E-3</c:v>
                </c:pt>
                <c:pt idx="8">
                  <c:v>3.9943415637860085E-3</c:v>
                </c:pt>
                <c:pt idx="9">
                  <c:v>3.9733796296296305E-3</c:v>
                </c:pt>
                <c:pt idx="10">
                  <c:v>3.9593855218855228E-3</c:v>
                </c:pt>
                <c:pt idx="11">
                  <c:v>4.0422453703703705E-3</c:v>
                </c:pt>
                <c:pt idx="12">
                  <c:v>4.0224358974358977E-3</c:v>
                </c:pt>
                <c:pt idx="13">
                  <c:v>4.0013227513227513E-3</c:v>
                </c:pt>
                <c:pt idx="14">
                  <c:v>3.9907407407407409E-3</c:v>
                </c:pt>
                <c:pt idx="15">
                  <c:v>4.0480324074074073E-3</c:v>
                </c:pt>
                <c:pt idx="16">
                  <c:v>4.0379901960784313E-3</c:v>
                </c:pt>
                <c:pt idx="17">
                  <c:v>4.0380658436213988E-3</c:v>
                </c:pt>
                <c:pt idx="18">
                  <c:v>4.0253411306042887E-3</c:v>
                </c:pt>
                <c:pt idx="19">
                  <c:v>4.0219907407407409E-3</c:v>
                </c:pt>
                <c:pt idx="20">
                  <c:v>4.0139991181657852E-3</c:v>
                </c:pt>
                <c:pt idx="21">
                  <c:v>4.0009469696969703E-3</c:v>
                </c:pt>
                <c:pt idx="22">
                  <c:v>4.0016103059581322E-3</c:v>
                </c:pt>
                <c:pt idx="23">
                  <c:v>3.9935378086419756E-3</c:v>
                </c:pt>
                <c:pt idx="24">
                  <c:v>3.9916666666666668E-3</c:v>
                </c:pt>
                <c:pt idx="25">
                  <c:v>3.9899394586894584E-3</c:v>
                </c:pt>
                <c:pt idx="26">
                  <c:v>3.9806241426611801E-3</c:v>
                </c:pt>
                <c:pt idx="27">
                  <c:v>3.975694444444444E-3</c:v>
                </c:pt>
                <c:pt idx="28">
                  <c:v>3.9906609195402296E-3</c:v>
                </c:pt>
                <c:pt idx="29">
                  <c:v>4.0061728395061726E-3</c:v>
                </c:pt>
                <c:pt idx="30">
                  <c:v>4.0106033452807647E-3</c:v>
                </c:pt>
                <c:pt idx="31">
                  <c:v>4.018012152777777E-3</c:v>
                </c:pt>
                <c:pt idx="32">
                  <c:v>4.0193602693602689E-3</c:v>
                </c:pt>
                <c:pt idx="33">
                  <c:v>4.0202886710239642E-3</c:v>
                </c:pt>
                <c:pt idx="34">
                  <c:v>4.0181878306878296E-3</c:v>
                </c:pt>
                <c:pt idx="35">
                  <c:v>4.0271347736625506E-3</c:v>
                </c:pt>
                <c:pt idx="36">
                  <c:v>4.0343468468468455E-3</c:v>
                </c:pt>
                <c:pt idx="37">
                  <c:v>4.0323464912280695E-3</c:v>
                </c:pt>
                <c:pt idx="38">
                  <c:v>4.037571225071224E-3</c:v>
                </c:pt>
                <c:pt idx="39">
                  <c:v>4.0358796296296288E-3</c:v>
                </c:pt>
                <c:pt idx="40">
                  <c:v>4.034552845528454E-3</c:v>
                </c:pt>
                <c:pt idx="41">
                  <c:v>4.0335648148148136E-3</c:v>
                </c:pt>
                <c:pt idx="42">
                  <c:v>4.0374677002583967E-3</c:v>
                </c:pt>
                <c:pt idx="43">
                  <c:v>4.0343539562289546E-3</c:v>
                </c:pt>
                <c:pt idx="44">
                  <c:v>4.0424382716049371E-3</c:v>
                </c:pt>
                <c:pt idx="45">
                  <c:v>4.0479066022544273E-3</c:v>
                </c:pt>
                <c:pt idx="46">
                  <c:v>4.0460007880220635E-3</c:v>
                </c:pt>
                <c:pt idx="47">
                  <c:v>4.0482735339506162E-3</c:v>
                </c:pt>
                <c:pt idx="48">
                  <c:v>4.0452569916855615E-3</c:v>
                </c:pt>
                <c:pt idx="49">
                  <c:v>4.0432870370370353E-3</c:v>
                </c:pt>
                <c:pt idx="50">
                  <c:v>4.0413943355119804E-3</c:v>
                </c:pt>
                <c:pt idx="51">
                  <c:v>4.0489227207977192E-3</c:v>
                </c:pt>
                <c:pt idx="52">
                  <c:v>4.0504891684136953E-3</c:v>
                </c:pt>
                <c:pt idx="53">
                  <c:v>4.0459962277091888E-3</c:v>
                </c:pt>
                <c:pt idx="54">
                  <c:v>4.0469276094276078E-3</c:v>
                </c:pt>
                <c:pt idx="55">
                  <c:v>4.044518849206348E-3</c:v>
                </c:pt>
                <c:pt idx="56">
                  <c:v>4.0430068226120844E-3</c:v>
                </c:pt>
                <c:pt idx="57">
                  <c:v>4.0391522988505735E-3</c:v>
                </c:pt>
                <c:pt idx="58">
                  <c:v>4.0350360954174505E-3</c:v>
                </c:pt>
                <c:pt idx="59">
                  <c:v>4.0297067901234555E-3</c:v>
                </c:pt>
                <c:pt idx="60">
                  <c:v>4.0279675166970241E-3</c:v>
                </c:pt>
                <c:pt idx="61">
                  <c:v>4.0283378136200705E-3</c:v>
                </c:pt>
                <c:pt idx="62">
                  <c:v>4.0253894767783649E-3</c:v>
                </c:pt>
                <c:pt idx="63">
                  <c:v>4.0221715856481469E-3</c:v>
                </c:pt>
                <c:pt idx="64">
                  <c:v>4.017628205128204E-3</c:v>
                </c:pt>
                <c:pt idx="65">
                  <c:v>4.0132225028058346E-3</c:v>
                </c:pt>
                <c:pt idx="66">
                  <c:v>4.0113667772249846E-3</c:v>
                </c:pt>
                <c:pt idx="67">
                  <c:v>4.0070125272331147E-3</c:v>
                </c:pt>
                <c:pt idx="68">
                  <c:v>4.0071457326892098E-3</c:v>
                </c:pt>
                <c:pt idx="69">
                  <c:v>4.0036375661375648E-3</c:v>
                </c:pt>
                <c:pt idx="70">
                  <c:v>4.00088028169014E-3</c:v>
                </c:pt>
                <c:pt idx="71">
                  <c:v>3.9964313271604931E-3</c:v>
                </c:pt>
                <c:pt idx="72">
                  <c:v>3.9955923389142561E-3</c:v>
                </c:pt>
                <c:pt idx="73">
                  <c:v>3.9907094594594595E-3</c:v>
                </c:pt>
                <c:pt idx="74">
                  <c:v>3.9887345679012346E-3</c:v>
                </c:pt>
                <c:pt idx="75">
                  <c:v>3.9860501949317735E-3</c:v>
                </c:pt>
                <c:pt idx="76">
                  <c:v>3.9840367965367964E-3</c:v>
                </c:pt>
                <c:pt idx="77">
                  <c:v>3.9816298670465339E-3</c:v>
                </c:pt>
                <c:pt idx="78">
                  <c:v>3.9773792780121893E-3</c:v>
                </c:pt>
                <c:pt idx="79">
                  <c:v>3.9733796296296297E-3</c:v>
                </c:pt>
                <c:pt idx="80">
                  <c:v>3.9706218564243253E-3</c:v>
                </c:pt>
                <c:pt idx="81">
                  <c:v>3.965955284552845E-3</c:v>
                </c:pt>
                <c:pt idx="82">
                  <c:v>3.9633534136546177E-3</c:v>
                </c:pt>
                <c:pt idx="83">
                  <c:v>3.9615024250440915E-3</c:v>
                </c:pt>
                <c:pt idx="84">
                  <c:v>3.9641884531590411E-3</c:v>
                </c:pt>
                <c:pt idx="85">
                  <c:v>3.9616978897502155E-3</c:v>
                </c:pt>
                <c:pt idx="86">
                  <c:v>3.9554065559812687E-3</c:v>
                </c:pt>
                <c:pt idx="87">
                  <c:v>3.9566235269360272E-3</c:v>
                </c:pt>
                <c:pt idx="88">
                  <c:v>3.9559925093632965E-3</c:v>
                </c:pt>
                <c:pt idx="89">
                  <c:v>3.9539609053497946E-3</c:v>
                </c:pt>
                <c:pt idx="90">
                  <c:v>3.9559167684167689E-3</c:v>
                </c:pt>
                <c:pt idx="91">
                  <c:v>3.9556914251207735E-3</c:v>
                </c:pt>
                <c:pt idx="92">
                  <c:v>3.9536041417761849E-3</c:v>
                </c:pt>
                <c:pt idx="93">
                  <c:v>3.9516843971631214E-3</c:v>
                </c:pt>
                <c:pt idx="94">
                  <c:v>3.956140350877194E-3</c:v>
                </c:pt>
                <c:pt idx="95">
                  <c:v>3.9576099537037045E-3</c:v>
                </c:pt>
                <c:pt idx="96">
                  <c:v>3.9588106147384504E-3</c:v>
                </c:pt>
                <c:pt idx="97">
                  <c:v>3.9551445578231295E-3</c:v>
                </c:pt>
                <c:pt idx="98">
                  <c:v>3.9494481855592975E-3</c:v>
                </c:pt>
                <c:pt idx="99">
                  <c:v>3.9464120370370373E-3</c:v>
                </c:pt>
                <c:pt idx="100">
                  <c:v>3.9444673634030075E-3</c:v>
                </c:pt>
                <c:pt idx="101">
                  <c:v>3.9416530501089325E-3</c:v>
                </c:pt>
                <c:pt idx="102">
                  <c:v>3.9391181229773463E-3</c:v>
                </c:pt>
                <c:pt idx="103">
                  <c:v>3.9394141737891736E-3</c:v>
                </c:pt>
                <c:pt idx="104">
                  <c:v>3.9372795414462083E-3</c:v>
                </c:pt>
                <c:pt idx="105">
                  <c:v>3.9347484276729561E-3</c:v>
                </c:pt>
                <c:pt idx="106">
                  <c:v>3.9336708203530635E-3</c:v>
                </c:pt>
                <c:pt idx="107">
                  <c:v>3.9351851851851848E-3</c:v>
                </c:pt>
                <c:pt idx="108">
                  <c:v>3.9343357118586482E-3</c:v>
                </c:pt>
                <c:pt idx="109">
                  <c:v>3.9313973063973065E-3</c:v>
                </c:pt>
                <c:pt idx="110">
                  <c:v>3.9283033033033037E-3</c:v>
                </c:pt>
                <c:pt idx="111">
                  <c:v>3.9256779100529104E-3</c:v>
                </c:pt>
                <c:pt idx="112">
                  <c:v>3.921869878728286E-3</c:v>
                </c:pt>
                <c:pt idx="113">
                  <c:v>3.9176210201429503E-3</c:v>
                </c:pt>
                <c:pt idx="114">
                  <c:v>3.9158615136876008E-3</c:v>
                </c:pt>
                <c:pt idx="115">
                  <c:v>3.9130348020434231E-3</c:v>
                </c:pt>
                <c:pt idx="116">
                  <c:v>3.9088714783159237E-3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9-47F1-A9BC-595DC2798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548520"/>
        <c:axId val="502551800"/>
      </c:lineChart>
      <c:catAx>
        <c:axId val="50254852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Day</a:t>
                </a:r>
              </a:p>
            </c:rich>
          </c:tx>
          <c:layout>
            <c:manualLayout>
              <c:xMode val="edge"/>
              <c:yMode val="edge"/>
              <c:x val="0.45211054500540376"/>
              <c:y val="0.52004606034172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51800"/>
        <c:crosses val="autoZero"/>
        <c:auto val="1"/>
        <c:lblAlgn val="ctr"/>
        <c:lblOffset val="150"/>
        <c:tickLblSkip val="7"/>
        <c:noMultiLvlLbl val="0"/>
      </c:catAx>
      <c:valAx>
        <c:axId val="5025518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Pace</a:t>
                </a:r>
                <a:r>
                  <a:rPr lang="en-US" sz="1400" baseline="0"/>
                  <a:t> (min/km)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3.5291858245122515E-2"/>
              <c:y val="0.16102676442657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4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4092304100434"/>
          <c:y val="0.4156965921681221"/>
          <c:w val="0.14433315634684832"/>
          <c:h val="0.15957570378489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2"/>
          <c:tx>
            <c:strRef>
              <c:f>Monthly_Analysis!$D$1</c:f>
              <c:strCache>
                <c:ptCount val="1"/>
                <c:pt idx="0">
                  <c:v>s/km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  <c:extLst xmlns:c15="http://schemas.microsoft.com/office/drawing/2012/chart"/>
            </c:strRef>
          </c:cat>
          <c:val>
            <c:numRef>
              <c:f>Monthly_Analysis!$D$2:$D$7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2C-43CC-BA9D-C3275A3121D7}"/>
            </c:ext>
          </c:extLst>
        </c:ser>
        <c:ser>
          <c:idx val="0"/>
          <c:order val="3"/>
          <c:tx>
            <c:strRef>
              <c:f>Monthly_Analysis!$E$1</c:f>
              <c:strCache>
                <c:ptCount val="1"/>
                <c:pt idx="0">
                  <c:v>highest_ pace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Monthly_Analysis!$E$2:$E$7</c:f>
              <c:numCache>
                <c:formatCode>m:ss\ "min/km"</c:formatCode>
                <c:ptCount val="6"/>
                <c:pt idx="0">
                  <c:v>3.7268518518518514E-3</c:v>
                </c:pt>
                <c:pt idx="1">
                  <c:v>3.7384259259259263E-3</c:v>
                </c:pt>
                <c:pt idx="2">
                  <c:v>3.6342592592592594E-3</c:v>
                </c:pt>
                <c:pt idx="3">
                  <c:v>3.414351851851852E-3</c:v>
                </c:pt>
                <c:pt idx="4">
                  <c:v>3.3912037037037036E-3</c:v>
                </c:pt>
                <c:pt idx="5">
                  <c:v>3.425925925925926E-3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31-4B93-90B3-9A2DA202B686}"/>
            </c:ext>
          </c:extLst>
        </c:ser>
        <c:ser>
          <c:idx val="2"/>
          <c:order val="4"/>
          <c:tx>
            <c:strRef>
              <c:f>Monthly_Analysis!$F$1</c:f>
              <c:strCache>
                <c:ptCount val="1"/>
                <c:pt idx="0">
                  <c:v>slowest_pace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Monthly_Analysis!$F$2:$F$7</c:f>
              <c:numCache>
                <c:formatCode>m:ss\ "min/km"</c:formatCode>
                <c:ptCount val="6"/>
                <c:pt idx="0">
                  <c:v>4.9537037037037041E-3</c:v>
                </c:pt>
                <c:pt idx="1">
                  <c:v>4.4560185185185189E-3</c:v>
                </c:pt>
                <c:pt idx="2">
                  <c:v>4.0972222222222226E-3</c:v>
                </c:pt>
                <c:pt idx="3">
                  <c:v>4.1898148148148146E-3</c:v>
                </c:pt>
                <c:pt idx="4">
                  <c:v>4.3749999999999995E-3</c:v>
                </c:pt>
                <c:pt idx="5">
                  <c:v>4.0972222222222226E-3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31-4B93-90B3-9A2DA202B686}"/>
            </c:ext>
          </c:extLst>
        </c:ser>
        <c:ser>
          <c:idx val="5"/>
          <c:order val="5"/>
          <c:tx>
            <c:strRef>
              <c:f>Monthly_Analysis!$G$1</c:f>
              <c:strCache>
                <c:ptCount val="1"/>
                <c:pt idx="0">
                  <c:v>Average_5k_monthly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Monthly_Analysis!$A$2:$A$7</c:f>
              <c:strCache>
                <c:ptCount val="6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</c:strCache>
            </c:strRef>
          </c:cat>
          <c:val>
            <c:numRef>
              <c:f>Monthly_Analysis!$G$2:$G$7</c:f>
              <c:numCache>
                <c:formatCode>m:ss.00\ "min/km"</c:formatCode>
                <c:ptCount val="6"/>
                <c:pt idx="0">
                  <c:v>3.9899394586894584E-3</c:v>
                </c:pt>
                <c:pt idx="1">
                  <c:v>4.1087962962962962E-3</c:v>
                </c:pt>
                <c:pt idx="2">
                  <c:v>3.8399621212121212E-3</c:v>
                </c:pt>
                <c:pt idx="3">
                  <c:v>3.7471064814814815E-3</c:v>
                </c:pt>
                <c:pt idx="4">
                  <c:v>3.8401559454191037E-3</c:v>
                </c:pt>
                <c:pt idx="5">
                  <c:v>3.6595117845117844E-3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C7-47D3-AADB-05CF3262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687536"/>
        <c:axId val="46668458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Monthly_Analysis!$B$1</c15:sqref>
                        </c15:formulaRef>
                      </c:ext>
                    </c:extLst>
                    <c:strCache>
                      <c:ptCount val="1"/>
                      <c:pt idx="0">
                        <c:v>5k_Runs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Monthly_Analysis!$B$2:$B$7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22</c:v>
                      </c:pt>
                      <c:pt idx="3">
                        <c:v>12</c:v>
                      </c:pt>
                      <c:pt idx="4">
                        <c:v>19</c:v>
                      </c:pt>
                      <c:pt idx="5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B2C-43CC-BA9D-C3275A3121D7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Monthly_Analysis!$C$1</c15:sqref>
                        </c15:formulaRef>
                      </c:ext>
                    </c:extLst>
                    <c:strCache>
                      <c:ptCount val="1"/>
                      <c:pt idx="0">
                        <c:v>Average_5k_time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prstDash val="solid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Monthly_Analysis!$A$2:$A$7</c15:sqref>
                        </c15:formulaRef>
                      </c:ext>
                    </c:extLst>
                    <c:strCache>
                      <c:ptCount val="6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Monthly_Analysis!$C$2:$C$7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5.7455128205128201</c:v>
                      </c:pt>
                      <c:pt idx="1">
                        <c:v>5.916666666666667</c:v>
                      </c:pt>
                      <c:pt idx="2">
                        <c:v>5.5295454545454543</c:v>
                      </c:pt>
                      <c:pt idx="3">
                        <c:v>5.395833333333333</c:v>
                      </c:pt>
                      <c:pt idx="4">
                        <c:v>5.5298245614035091</c:v>
                      </c:pt>
                      <c:pt idx="5">
                        <c:v>5.2696969696969695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B2C-43CC-BA9D-C3275A3121D7}"/>
                  </c:ext>
                </c:extLst>
              </c15:ser>
            </c15:filteredLineSeries>
          </c:ext>
        </c:extLst>
      </c:lineChart>
      <c:catAx>
        <c:axId val="46668753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84584"/>
        <c:crosses val="autoZero"/>
        <c:auto val="1"/>
        <c:lblAlgn val="ctr"/>
        <c:lblOffset val="100"/>
        <c:noMultiLvlLbl val="0"/>
      </c:catAx>
      <c:valAx>
        <c:axId val="466684584"/>
        <c:scaling>
          <c:orientation val="maxMin"/>
          <c:min val="2.99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:ss\ &quot;min/k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87536"/>
        <c:crosses val="autoZero"/>
        <c:crossBetween val="between"/>
        <c:majorUnit val="3.500000000000001E-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104777</xdr:rowOff>
    </xdr:from>
    <xdr:to>
      <xdr:col>10</xdr:col>
      <xdr:colOff>542925</xdr:colOff>
      <xdr:row>27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F5ADA4-5B3C-4718-9D77-A07658380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38102</xdr:colOff>
      <xdr:row>0</xdr:row>
      <xdr:rowOff>9525</xdr:rowOff>
    </xdr:from>
    <xdr:to>
      <xdr:col>8</xdr:col>
      <xdr:colOff>438150</xdr:colOff>
      <xdr:row>13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504BE2-BB59-4C96-A48C-CFEBEBA79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438150</xdr:colOff>
      <xdr:row>0</xdr:row>
      <xdr:rowOff>19051</xdr:rowOff>
    </xdr:from>
    <xdr:to>
      <xdr:col>19</xdr:col>
      <xdr:colOff>419100</xdr:colOff>
      <xdr:row>13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1C9005-61D2-4776-9C46-5A1FC9054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552450</xdr:colOff>
      <xdr:row>13</xdr:row>
      <xdr:rowOff>114300</xdr:rowOff>
    </xdr:from>
    <xdr:to>
      <xdr:col>18</xdr:col>
      <xdr:colOff>247650</xdr:colOff>
      <xdr:row>28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D67776A-2B08-4900-8B0B-D30E9FD23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</xdr:rowOff>
    </xdr:from>
    <xdr:to>
      <xdr:col>10</xdr:col>
      <xdr:colOff>542925</xdr:colOff>
      <xdr:row>29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A997C2-5DAE-4B43-BD86-78534D4E4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0.0373</cdr:x>
      <cdr:y>0.58893</cdr:y>
    </cdr:from>
    <cdr:to>
      <cdr:x>0.97418</cdr:x>
      <cdr:y>0.98322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FCF131-706F-4706-9D5D-6234F7B04E0A}"/>
            </a:ext>
          </a:extLst>
        </cdr:cNvPr>
        <cdr:cNvSpPr txBox="1"/>
      </cdr:nvSpPr>
      <cdr:spPr>
        <a:xfrm xmlns:a="http://schemas.openxmlformats.org/drawingml/2006/main">
          <a:off x="247650" y="3343276"/>
          <a:ext cx="6219825" cy="2238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1. </a:t>
          </a:r>
          <a:r>
            <a:rPr lang="en-US" sz="1100" b="1"/>
            <a:t>Monthly pattern : </a:t>
          </a:r>
        </a:p>
        <a:p xmlns:a="http://schemas.openxmlformats.org/drawingml/2006/main">
          <a:r>
            <a:rPr lang="en-US" sz="1100" b="1"/>
            <a:t>         </a:t>
          </a:r>
          <a:r>
            <a:rPr lang="en-US" sz="1100" b="0"/>
            <a:t>Increase</a:t>
          </a:r>
          <a:r>
            <a:rPr lang="en-US" sz="1100" b="0" baseline="0"/>
            <a:t> and then a decreasing pattern of pace every 4 weeks, consecutively, upto day 55, followed </a:t>
          </a:r>
        </a:p>
        <a:p xmlns:a="http://schemas.openxmlformats.org/drawingml/2006/main">
          <a:r>
            <a:rPr lang="en-US" sz="1100" b="0" baseline="0"/>
            <a:t>         by an ongoing continuous rise in average pace, currently lasting 2 months and counting </a:t>
          </a:r>
        </a:p>
        <a:p xmlns:a="http://schemas.openxmlformats.org/drawingml/2006/main">
          <a:endParaRPr lang="en-US" sz="1100" b="0" baseline="0"/>
        </a:p>
        <a:p xmlns:a="http://schemas.openxmlformats.org/drawingml/2006/main">
          <a:r>
            <a:rPr lang="en-US" sz="1100" b="0" baseline="0"/>
            <a:t>2. </a:t>
          </a:r>
          <a:r>
            <a:rPr lang="en-US" sz="1100" b="1" baseline="0"/>
            <a:t>Overall pattern</a:t>
          </a:r>
        </a:p>
        <a:p xmlns:a="http://schemas.openxmlformats.org/drawingml/2006/main">
          <a:r>
            <a:rPr lang="en-US" sz="1100" b="1" baseline="0"/>
            <a:t>         </a:t>
          </a:r>
          <a:r>
            <a:rPr lang="en-US" sz="1100" b="0" baseline="0"/>
            <a:t>Characterized by an "upward moving cyclical " pattern </a:t>
          </a:r>
        </a:p>
        <a:p xmlns:a="http://schemas.openxmlformats.org/drawingml/2006/main">
          <a:r>
            <a:rPr lang="en-US" sz="1100" b="0" baseline="0"/>
            <a:t>          </a:t>
          </a:r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14</xdr:row>
      <xdr:rowOff>33337</xdr:rowOff>
    </xdr:from>
    <xdr:to>
      <xdr:col>5</xdr:col>
      <xdr:colOff>85725</xdr:colOff>
      <xdr:row>28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D48AE1-3BC2-46F3-BD48-A90344CF2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7.35687210648" createdVersion="7" refreshedVersion="7" minRefreshableVersion="3" recordCount="117" xr:uid="{01F7DF1F-AA1D-4AAD-A657-20ADB8997233}">
  <cacheSource type="worksheet">
    <worksheetSource name="Table2"/>
  </cacheSource>
  <cacheFields count="14">
    <cacheField name="Day" numFmtId="0">
      <sharedItems containsSemiMixedTypes="0" containsString="0" containsNumber="1" containsInteger="1" minValue="1" maxValue="117"/>
    </cacheField>
    <cacheField name="date" numFmtId="166">
      <sharedItems containsSemiMixedTypes="0" containsNonDate="0" containsDate="1" containsString="0" minDate="2025-11-03T00:00:00" maxDate="2026-04-16T00:00:00"/>
    </cacheField>
    <cacheField name="Enter_pace" numFmtId="0">
      <sharedItems containsSemiMixedTypes="0" containsString="0" containsNumber="1" containsInteger="1" minValue="453" maxValue="708"/>
    </cacheField>
    <cacheField name="sec" numFmtId="0">
      <sharedItems containsSemiMixedTypes="0" containsString="0" containsNumber="1" containsInteger="1" minValue="2" maxValue="59"/>
    </cacheField>
    <cacheField name="min" numFmtId="0">
      <sharedItems containsSemiMixedTypes="0" containsString="0" containsNumber="1" containsInteger="1" minValue="4" maxValue="7"/>
    </cacheField>
    <cacheField name="Month" numFmtId="0">
      <sharedItems count="6">
        <s v="November"/>
        <s v="December"/>
        <s v="January"/>
        <s v="February"/>
        <s v="March"/>
        <s v="April"/>
      </sharedItems>
    </cacheField>
    <cacheField name="5k_pace_min/km" numFmtId="168">
      <sharedItems containsSemiMixedTypes="0" containsNonDate="0" containsDate="1" containsString="0" minDate="1899-12-30T00:04:53" maxDate="1899-12-30T00:07:08"/>
    </cacheField>
    <cacheField name="running_average " numFmtId="168">
      <sharedItems containsSemiMixedTypes="0" containsNonDate="0" containsDate="1" containsString="0" minDate="1899-12-30T00:05:38" maxDate="1899-12-30T00:06:03"/>
    </cacheField>
    <cacheField name="5k_pace" numFmtId="167">
      <sharedItems containsSemiMixedTypes="0" containsNonDate="0" containsDate="1" containsString="0" minDate="1899-12-30T00:04:53" maxDate="1899-12-30T00:07:08"/>
    </cacheField>
    <cacheField name="running_avg" numFmtId="167">
      <sharedItems containsSemiMixedTypes="0" containsNonDate="0" containsDate="1" containsString="0" minDate="1899-12-30T00:05:38" maxDate="1899-12-30T00:06:15"/>
    </cacheField>
    <cacheField name="top_pace" numFmtId="167">
      <sharedItems containsSemiMixedTypes="0" containsNonDate="0" containsDate="1" containsString="0" minDate="1899-12-30T00:04:53" maxDate="1899-12-30T00:05:23"/>
    </cacheField>
    <cacheField name="bot_pace" numFmtId="167">
      <sharedItems containsSemiMixedTypes="0" containsNonDate="0" containsDate="1" containsString="0" minDate="1899-12-30T00:05:54" maxDate="1899-12-30T00:07:08"/>
    </cacheField>
    <cacheField name="median pace" numFmtId="0">
      <sharedItems containsNonDate="0" containsDate="1" containsString="0" containsBlank="1" minDate="1899-12-30T00:05:14" maxDate="1899-12-30T00:05:5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1"/>
    <d v="2025-11-03T00:00:00"/>
    <n v="615"/>
    <n v="15"/>
    <n v="6"/>
    <x v="0"/>
    <d v="1899-12-30T00:06:15"/>
    <d v="1899-12-30T00:06:03"/>
    <d v="1899-12-30T00:06:15"/>
    <d v="1899-12-30T00:06:15"/>
    <d v="1899-12-30T00:05:22"/>
    <d v="1899-12-30T00:07:08"/>
    <d v="1899-12-30T00:05:35"/>
    <m/>
  </r>
  <r>
    <n v="2"/>
    <d v="2025-11-06T00:00:00"/>
    <n v="551"/>
    <n v="51"/>
    <n v="5"/>
    <x v="0"/>
    <d v="1899-12-30T00:05:51"/>
    <d v="1899-12-30T00:05:59"/>
    <d v="1899-12-30T00:05:51"/>
    <d v="1899-12-30T00:06:03"/>
    <d v="1899-12-30T00:05:22"/>
    <d v="1899-12-30T00:07:08"/>
    <d v="1899-12-30T00:05:51"/>
    <m/>
  </r>
  <r>
    <n v="3"/>
    <d v="2025-11-07T00:00:00"/>
    <n v="552"/>
    <n v="52"/>
    <n v="5"/>
    <x v="0"/>
    <d v="1899-12-30T00:05:52"/>
    <d v="1899-12-30T00:05:53"/>
    <d v="1899-12-30T00:05:52"/>
    <d v="1899-12-30T00:05:59"/>
    <d v="1899-12-30T00:05:22"/>
    <d v="1899-12-30T00:07:08"/>
    <d v="1899-12-30T00:05:30"/>
    <m/>
  </r>
  <r>
    <n v="4"/>
    <d v="2025-11-08T00:00:00"/>
    <n v="535"/>
    <n v="35"/>
    <n v="5"/>
    <x v="0"/>
    <d v="1899-12-30T00:05:35"/>
    <d v="1899-12-30T00:05:51"/>
    <d v="1899-12-30T00:05:35"/>
    <d v="1899-12-30T00:05:53"/>
    <d v="1899-12-30T00:05:22"/>
    <d v="1899-12-30T00:07:08"/>
    <d v="1899-12-30T00:05:24"/>
    <m/>
  </r>
  <r>
    <n v="5"/>
    <d v="2025-11-09T00:00:00"/>
    <n v="540"/>
    <n v="40"/>
    <n v="5"/>
    <x v="0"/>
    <d v="1899-12-30T00:05:40"/>
    <d v="1899-12-30T00:05:54"/>
    <d v="1899-12-30T00:05:40"/>
    <d v="1899-12-30T00:05:51"/>
    <d v="1899-12-30T00:05:22"/>
    <d v="1899-12-30T00:07:08"/>
    <d v="1899-12-30T00:05:26"/>
    <m/>
  </r>
  <r>
    <n v="6"/>
    <d v="2025-11-10T00:00:00"/>
    <n v="609"/>
    <n v="9"/>
    <n v="6"/>
    <x v="0"/>
    <d v="1899-12-30T00:06:09"/>
    <d v="1899-12-30T00:05:51"/>
    <d v="1899-12-30T00:06:09"/>
    <d v="1899-12-30T00:05:54"/>
    <d v="1899-12-30T00:05:22"/>
    <d v="1899-12-30T00:07:08"/>
    <d v="1899-12-30T00:05:14"/>
    <m/>
  </r>
  <r>
    <n v="7"/>
    <d v="2025-11-11T00:00:00"/>
    <n v="535"/>
    <n v="35"/>
    <n v="5"/>
    <x v="0"/>
    <d v="1899-12-30T00:05:35"/>
    <d v="1899-12-30T00:05:48"/>
    <d v="1899-12-30T00:05:35"/>
    <d v="1899-12-30T00:05:51"/>
    <d v="1899-12-30T00:05:22"/>
    <d v="1899-12-30T00:07:08"/>
    <m/>
    <m/>
  </r>
  <r>
    <n v="8"/>
    <d v="2025-11-12T00:00:00"/>
    <n v="527"/>
    <n v="27"/>
    <n v="5"/>
    <x v="0"/>
    <d v="1899-12-30T00:05:27"/>
    <d v="1899-12-30T00:05:45"/>
    <d v="1899-12-30T00:05:27"/>
    <d v="1899-12-30T00:05:48"/>
    <d v="1899-12-30T00:05:22"/>
    <d v="1899-12-30T00:07:08"/>
    <m/>
    <m/>
  </r>
  <r>
    <n v="9"/>
    <d v="2025-11-13T00:00:00"/>
    <n v="522"/>
    <n v="22"/>
    <n v="5"/>
    <x v="0"/>
    <d v="1899-12-30T00:05:22"/>
    <d v="1899-12-30T00:05:43"/>
    <d v="1899-12-30T00:05:22"/>
    <d v="1899-12-30T00:05:45"/>
    <d v="1899-12-30T00:05:22"/>
    <d v="1899-12-30T00:07:08"/>
    <m/>
    <m/>
  </r>
  <r>
    <n v="10"/>
    <d v="2025-11-14T00:00:00"/>
    <n v="527"/>
    <n v="27"/>
    <n v="5"/>
    <x v="0"/>
    <d v="1899-12-30T00:05:27"/>
    <d v="1899-12-30T00:05:42"/>
    <d v="1899-12-30T00:05:27"/>
    <d v="1899-12-30T00:05:43"/>
    <d v="1899-12-30T00:05:22"/>
    <d v="1899-12-30T00:07:08"/>
    <m/>
    <m/>
  </r>
  <r>
    <n v="11"/>
    <d v="2025-11-15T00:00:00"/>
    <n v="530"/>
    <n v="30"/>
    <n v="5"/>
    <x v="0"/>
    <d v="1899-12-30T00:05:30"/>
    <d v="1899-12-30T00:05:49"/>
    <d v="1899-12-30T00:05:30"/>
    <d v="1899-12-30T00:05:42"/>
    <d v="1899-12-30T00:05:22"/>
    <d v="1899-12-30T00:07:08"/>
    <m/>
    <m/>
  </r>
  <r>
    <n v="12"/>
    <d v="2025-11-16T00:00:00"/>
    <n v="708"/>
    <n v="8"/>
    <n v="7"/>
    <x v="0"/>
    <d v="1899-12-30T00:07:08"/>
    <d v="1899-12-30T00:05:48"/>
    <d v="1899-12-30T00:07:08"/>
    <d v="1899-12-30T00:05:49"/>
    <d v="1899-12-30T00:05:22"/>
    <d v="1899-12-30T00:07:08"/>
    <m/>
    <m/>
  </r>
  <r>
    <n v="13"/>
    <d v="2025-11-17T00:00:00"/>
    <n v="527"/>
    <n v="27"/>
    <n v="5"/>
    <x v="0"/>
    <d v="1899-12-30T00:05:27"/>
    <d v="1899-12-30T00:05:46"/>
    <d v="1899-12-30T00:05:27"/>
    <d v="1899-12-30T00:05:48"/>
    <d v="1899-12-30T00:05:22"/>
    <d v="1899-12-30T00:07:08"/>
    <m/>
    <m/>
  </r>
  <r>
    <n v="14"/>
    <d v="2025-11-18T00:00:00"/>
    <n v="522"/>
    <n v="22"/>
    <n v="5"/>
    <x v="0"/>
    <d v="1899-12-30T00:05:22"/>
    <d v="1899-12-30T00:05:45"/>
    <d v="1899-12-30T00:05:22"/>
    <d v="1899-12-30T00:05:46"/>
    <d v="1899-12-30T00:05:22"/>
    <d v="1899-12-30T00:07:08"/>
    <m/>
    <m/>
  </r>
  <r>
    <n v="15"/>
    <d v="2025-11-19T00:00:00"/>
    <n v="532"/>
    <n v="32"/>
    <n v="5"/>
    <x v="0"/>
    <d v="1899-12-30T00:05:32"/>
    <d v="1899-12-30T00:05:50"/>
    <d v="1899-12-30T00:05:32"/>
    <d v="1899-12-30T00:05:45"/>
    <d v="1899-12-30T00:05:22"/>
    <d v="1899-12-30T00:07:08"/>
    <m/>
    <m/>
  </r>
  <r>
    <n v="16"/>
    <d v="2025-11-20T00:00:00"/>
    <n v="704"/>
    <n v="4"/>
    <n v="7"/>
    <x v="0"/>
    <d v="1899-12-30T00:07:04"/>
    <d v="1899-12-30T00:05:49"/>
    <d v="1899-12-30T00:07:04"/>
    <d v="1899-12-30T00:05:50"/>
    <d v="1899-12-30T00:05:22"/>
    <d v="1899-12-30T00:07:08"/>
    <m/>
    <m/>
  </r>
  <r>
    <n v="17"/>
    <d v="2025-11-21T00:00:00"/>
    <n v="535"/>
    <n v="35"/>
    <n v="5"/>
    <x v="0"/>
    <d v="1899-12-30T00:05:35"/>
    <d v="1899-12-30T00:05:49"/>
    <d v="1899-12-30T00:05:35"/>
    <d v="1899-12-30T00:05:49"/>
    <d v="1899-12-30T00:05:22"/>
    <d v="1899-12-30T00:07:08"/>
    <m/>
    <m/>
  </r>
  <r>
    <n v="18"/>
    <d v="2025-11-22T00:00:00"/>
    <n v="549"/>
    <n v="49"/>
    <n v="5"/>
    <x v="0"/>
    <d v="1899-12-30T00:05:49"/>
    <d v="1899-12-30T00:05:48"/>
    <d v="1899-12-30T00:05:49"/>
    <d v="1899-12-30T00:05:49"/>
    <d v="1899-12-30T00:05:22"/>
    <d v="1899-12-30T00:07:08"/>
    <m/>
    <m/>
  </r>
  <r>
    <n v="19"/>
    <d v="2025-11-23T00:00:00"/>
    <n v="528"/>
    <n v="28"/>
    <n v="5"/>
    <x v="0"/>
    <d v="1899-12-30T00:05:28"/>
    <d v="1899-12-30T00:05:47"/>
    <d v="1899-12-30T00:05:28"/>
    <d v="1899-12-30T00:05:48"/>
    <d v="1899-12-30T00:05:22"/>
    <d v="1899-12-30T00:07:08"/>
    <m/>
    <m/>
  </r>
  <r>
    <n v="20"/>
    <d v="2025-11-24T00:00:00"/>
    <n v="542"/>
    <n v="42"/>
    <n v="5"/>
    <x v="0"/>
    <d v="1899-12-30T00:05:42"/>
    <d v="1899-12-30T00:05:47"/>
    <d v="1899-12-30T00:05:42"/>
    <d v="1899-12-30T00:05:47"/>
    <d v="1899-12-30T00:05:22"/>
    <d v="1899-12-30T00:07:08"/>
    <m/>
    <m/>
  </r>
  <r>
    <n v="21"/>
    <d v="2025-11-25T00:00:00"/>
    <n v="533"/>
    <n v="33"/>
    <n v="5"/>
    <x v="0"/>
    <d v="1899-12-30T00:05:33"/>
    <d v="1899-12-30T00:05:46"/>
    <d v="1899-12-30T00:05:33"/>
    <d v="1899-12-30T00:05:47"/>
    <d v="1899-12-30T00:05:22"/>
    <d v="1899-12-30T00:07:08"/>
    <m/>
    <m/>
  </r>
  <r>
    <n v="22"/>
    <d v="2025-11-26T00:00:00"/>
    <n v="522"/>
    <n v="22"/>
    <n v="5"/>
    <x v="0"/>
    <d v="1899-12-30T00:05:22"/>
    <d v="1899-12-30T00:05:46"/>
    <d v="1899-12-30T00:05:22"/>
    <d v="1899-12-30T00:05:46"/>
    <d v="1899-12-30T00:05:22"/>
    <d v="1899-12-30T00:07:08"/>
    <m/>
    <m/>
  </r>
  <r>
    <n v="23"/>
    <d v="2025-11-27T00:00:00"/>
    <n v="547"/>
    <n v="47"/>
    <n v="5"/>
    <x v="0"/>
    <d v="1899-12-30T00:05:47"/>
    <d v="1899-12-30T00:05:45"/>
    <d v="1899-12-30T00:05:47"/>
    <d v="1899-12-30T00:05:46"/>
    <d v="1899-12-30T00:05:22"/>
    <d v="1899-12-30T00:07:08"/>
    <m/>
    <m/>
  </r>
  <r>
    <n v="24"/>
    <d v="2025-11-28T00:00:00"/>
    <n v="529"/>
    <n v="29"/>
    <n v="5"/>
    <x v="0"/>
    <d v="1899-12-30T00:05:29"/>
    <d v="1899-12-30T00:05:45"/>
    <d v="1899-12-30T00:05:29"/>
    <d v="1899-12-30T00:05:45"/>
    <d v="1899-12-30T00:05:22"/>
    <d v="1899-12-30T00:07:08"/>
    <m/>
    <m/>
  </r>
  <r>
    <n v="25"/>
    <d v="2025-11-29T00:00:00"/>
    <n v="541"/>
    <n v="41"/>
    <n v="5"/>
    <x v="0"/>
    <d v="1899-12-30T00:05:41"/>
    <d v="1899-12-30T00:05:45"/>
    <d v="1899-12-30T00:05:41"/>
    <d v="1899-12-30T00:05:45"/>
    <d v="1899-12-30T00:05:22"/>
    <d v="1899-12-30T00:07:08"/>
    <m/>
    <m/>
  </r>
  <r>
    <n v="26"/>
    <d v="2025-11-30T00:00:00"/>
    <n v="541"/>
    <n v="41"/>
    <n v="5"/>
    <x v="0"/>
    <d v="1899-12-30T00:05:41"/>
    <d v="1899-12-30T00:05:44"/>
    <d v="1899-12-30T00:05:41"/>
    <d v="1899-12-30T00:05:45"/>
    <d v="1899-12-30T00:05:22"/>
    <d v="1899-12-30T00:07:08"/>
    <m/>
    <m/>
  </r>
  <r>
    <n v="27"/>
    <d v="2025-12-02T00:00:00"/>
    <n v="523"/>
    <n v="23"/>
    <n v="5"/>
    <x v="1"/>
    <d v="1899-12-30T00:05:23"/>
    <d v="1899-12-30T00:05:43"/>
    <d v="1899-12-30T00:05:23"/>
    <d v="1899-12-30T00:05:44"/>
    <d v="1899-12-30T00:05:23"/>
    <d v="1899-12-30T00:06:25"/>
    <m/>
    <m/>
  </r>
  <r>
    <n v="28"/>
    <d v="2025-12-03T00:00:00"/>
    <n v="532"/>
    <n v="32"/>
    <n v="5"/>
    <x v="1"/>
    <d v="1899-12-30T00:05:32"/>
    <d v="1899-12-30T00:05:45"/>
    <d v="1899-12-30T00:05:32"/>
    <d v="1899-12-30T00:05:43"/>
    <d v="1899-12-30T00:05:23"/>
    <d v="1899-12-30T00:06:25"/>
    <m/>
    <m/>
  </r>
  <r>
    <n v="29"/>
    <d v="2025-12-04T00:00:00"/>
    <n v="621"/>
    <n v="21"/>
    <n v="6"/>
    <x v="1"/>
    <d v="1899-12-30T00:06:21"/>
    <d v="1899-12-30T00:05:46"/>
    <d v="1899-12-30T00:06:21"/>
    <d v="1899-12-30T00:05:45"/>
    <d v="1899-12-30T00:05:23"/>
    <d v="1899-12-30T00:06:25"/>
    <m/>
    <m/>
  </r>
  <r>
    <n v="30"/>
    <d v="2025-12-05T00:00:00"/>
    <n v="625"/>
    <n v="25"/>
    <n v="6"/>
    <x v="1"/>
    <d v="1899-12-30T00:06:25"/>
    <d v="1899-12-30T00:05:47"/>
    <d v="1899-12-30T00:06:25"/>
    <d v="1899-12-30T00:05:46"/>
    <d v="1899-12-30T00:05:23"/>
    <d v="1899-12-30T00:06:25"/>
    <m/>
    <m/>
  </r>
  <r>
    <n v="31"/>
    <d v="2025-12-07T00:00:00"/>
    <n v="558"/>
    <n v="58"/>
    <n v="5"/>
    <x v="1"/>
    <d v="1899-12-30T00:05:58"/>
    <d v="1899-12-30T00:05:47"/>
    <d v="1899-12-30T00:05:58"/>
    <d v="1899-12-30T00:05:47"/>
    <d v="1899-12-30T00:05:23"/>
    <d v="1899-12-30T00:06:25"/>
    <m/>
    <m/>
  </r>
  <r>
    <n v="32"/>
    <d v="2025-12-08T00:00:00"/>
    <n v="607"/>
    <n v="7"/>
    <n v="6"/>
    <x v="1"/>
    <d v="1899-12-30T00:06:07"/>
    <d v="1899-12-30T00:05:47"/>
    <d v="1899-12-30T00:06:07"/>
    <d v="1899-12-30T00:05:47"/>
    <d v="1899-12-30T00:05:23"/>
    <d v="1899-12-30T00:06:25"/>
    <m/>
    <m/>
  </r>
  <r>
    <n v="33"/>
    <d v="2025-12-09T00:00:00"/>
    <n v="551"/>
    <n v="51"/>
    <n v="5"/>
    <x v="1"/>
    <d v="1899-12-30T00:05:51"/>
    <d v="1899-12-30T00:05:47"/>
    <d v="1899-12-30T00:05:51"/>
    <d v="1899-12-30T00:05:47"/>
    <d v="1899-12-30T00:05:23"/>
    <d v="1899-12-30T00:06:25"/>
    <m/>
    <m/>
  </r>
  <r>
    <n v="34"/>
    <d v="2025-12-10T00:00:00"/>
    <n v="550"/>
    <n v="50"/>
    <n v="5"/>
    <x v="1"/>
    <d v="1899-12-30T00:05:50"/>
    <d v="1899-12-30T00:05:47"/>
    <d v="1899-12-30T00:05:50"/>
    <d v="1899-12-30T00:05:47"/>
    <d v="1899-12-30T00:05:23"/>
    <d v="1899-12-30T00:06:25"/>
    <m/>
    <m/>
  </r>
  <r>
    <n v="35"/>
    <d v="2025-12-11T00:00:00"/>
    <n v="541"/>
    <n v="41"/>
    <n v="5"/>
    <x v="1"/>
    <d v="1899-12-30T00:05:41"/>
    <d v="1899-12-30T00:05:48"/>
    <d v="1899-12-30T00:05:41"/>
    <d v="1899-12-30T00:05:47"/>
    <d v="1899-12-30T00:05:23"/>
    <d v="1899-12-30T00:06:25"/>
    <m/>
    <m/>
  </r>
  <r>
    <n v="36"/>
    <d v="2025-12-12T00:00:00"/>
    <n v="615"/>
    <n v="15"/>
    <n v="6"/>
    <x v="1"/>
    <d v="1899-12-30T00:06:15"/>
    <d v="1899-12-30T00:05:49"/>
    <d v="1899-12-30T00:06:15"/>
    <d v="1899-12-30T00:05:48"/>
    <d v="1899-12-30T00:05:23"/>
    <d v="1899-12-30T00:06:25"/>
    <m/>
    <m/>
  </r>
  <r>
    <n v="37"/>
    <d v="2025-12-13T00:00:00"/>
    <n v="611"/>
    <n v="11"/>
    <n v="6"/>
    <x v="1"/>
    <d v="1899-12-30T00:06:11"/>
    <d v="1899-12-30T00:05:48"/>
    <d v="1899-12-30T00:06:11"/>
    <d v="1899-12-30T00:05:49"/>
    <d v="1899-12-30T00:05:23"/>
    <d v="1899-12-30T00:06:25"/>
    <m/>
    <m/>
  </r>
  <r>
    <n v="38"/>
    <d v="2025-12-14T00:00:00"/>
    <n v="542"/>
    <n v="42"/>
    <n v="5"/>
    <x v="1"/>
    <d v="1899-12-30T00:05:42"/>
    <d v="1899-12-30T00:05:49"/>
    <d v="1899-12-30T00:05:42"/>
    <d v="1899-12-30T00:05:48"/>
    <d v="1899-12-30T00:05:23"/>
    <d v="1899-12-30T00:06:25"/>
    <m/>
    <m/>
  </r>
  <r>
    <n v="39"/>
    <d v="2025-12-15T00:00:00"/>
    <n v="606"/>
    <n v="6"/>
    <n v="6"/>
    <x v="1"/>
    <d v="1899-12-30T00:06:06"/>
    <d v="1899-12-30T00:05:49"/>
    <d v="1899-12-30T00:06:06"/>
    <d v="1899-12-30T00:05:49"/>
    <d v="1899-12-30T00:05:23"/>
    <d v="1899-12-30T00:06:25"/>
    <m/>
    <m/>
  </r>
  <r>
    <n v="40"/>
    <d v="2025-12-16T00:00:00"/>
    <n v="543"/>
    <n v="43"/>
    <n v="5"/>
    <x v="1"/>
    <d v="1899-12-30T00:05:43"/>
    <d v="1899-12-30T00:05:49"/>
    <d v="1899-12-30T00:05:43"/>
    <d v="1899-12-30T00:05:49"/>
    <d v="1899-12-30T00:05:23"/>
    <d v="1899-12-30T00:06:25"/>
    <m/>
    <m/>
  </r>
  <r>
    <n v="41"/>
    <d v="2025-12-17T00:00:00"/>
    <n v="544"/>
    <n v="44"/>
    <n v="5"/>
    <x v="1"/>
    <d v="1899-12-30T00:05:44"/>
    <d v="1899-12-30T00:05:48"/>
    <d v="1899-12-30T00:05:44"/>
    <d v="1899-12-30T00:05:49"/>
    <d v="1899-12-30T00:05:23"/>
    <d v="1899-12-30T00:06:25"/>
    <m/>
    <m/>
  </r>
  <r>
    <n v="42"/>
    <d v="2025-12-18T00:00:00"/>
    <n v="545"/>
    <n v="45"/>
    <n v="5"/>
    <x v="1"/>
    <d v="1899-12-30T00:05:45"/>
    <d v="1899-12-30T00:05:49"/>
    <d v="1899-12-30T00:05:45"/>
    <d v="1899-12-30T00:05:48"/>
    <d v="1899-12-30T00:05:23"/>
    <d v="1899-12-30T00:06:25"/>
    <m/>
    <m/>
  </r>
  <r>
    <n v="43"/>
    <d v="2025-12-19T00:00:00"/>
    <n v="603"/>
    <n v="3"/>
    <n v="6"/>
    <x v="1"/>
    <d v="1899-12-30T00:06:03"/>
    <d v="1899-12-30T00:05:49"/>
    <d v="1899-12-30T00:06:03"/>
    <d v="1899-12-30T00:05:49"/>
    <d v="1899-12-30T00:05:23"/>
    <d v="1899-12-30T00:06:25"/>
    <m/>
    <m/>
  </r>
  <r>
    <n v="44"/>
    <d v="2025-12-21T00:00:00"/>
    <n v="537"/>
    <n v="37"/>
    <n v="5"/>
    <x v="1"/>
    <d v="1899-12-30T00:05:37"/>
    <d v="1899-12-30T00:05:49"/>
    <d v="1899-12-30T00:05:37"/>
    <d v="1899-12-30T00:05:49"/>
    <d v="1899-12-30T00:05:23"/>
    <d v="1899-12-30T00:06:25"/>
    <m/>
    <m/>
  </r>
  <r>
    <n v="45"/>
    <d v="2025-12-22T00:00:00"/>
    <n v="620"/>
    <n v="20"/>
    <n v="6"/>
    <x v="1"/>
    <d v="1899-12-30T00:06:20"/>
    <d v="1899-12-30T00:05:50"/>
    <d v="1899-12-30T00:06:20"/>
    <d v="1899-12-30T00:05:49"/>
    <d v="1899-12-30T00:05:23"/>
    <d v="1899-12-30T00:06:25"/>
    <m/>
    <m/>
  </r>
  <r>
    <n v="46"/>
    <d v="2025-12-23T00:00:00"/>
    <n v="611"/>
    <n v="11"/>
    <n v="6"/>
    <x v="1"/>
    <d v="1899-12-30T00:06:11"/>
    <d v="1899-12-30T00:05:50"/>
    <d v="1899-12-30T00:06:11"/>
    <d v="1899-12-30T00:05:50"/>
    <d v="1899-12-30T00:05:23"/>
    <d v="1899-12-30T00:06:25"/>
    <m/>
    <m/>
  </r>
  <r>
    <n v="47"/>
    <d v="2025-12-24T00:00:00"/>
    <n v="542"/>
    <n v="42"/>
    <n v="5"/>
    <x v="1"/>
    <d v="1899-12-30T00:05:42"/>
    <d v="1899-12-30T00:05:50"/>
    <d v="1899-12-30T00:05:42"/>
    <d v="1899-12-30T00:05:50"/>
    <d v="1899-12-30T00:05:23"/>
    <d v="1899-12-30T00:06:25"/>
    <m/>
    <m/>
  </r>
  <r>
    <n v="48"/>
    <d v="2025-12-25T00:00:00"/>
    <n v="559"/>
    <n v="59"/>
    <n v="5"/>
    <x v="1"/>
    <d v="1899-12-30T00:05:59"/>
    <d v="1899-12-30T00:05:50"/>
    <d v="1899-12-30T00:05:59"/>
    <d v="1899-12-30T00:05:50"/>
    <d v="1899-12-30T00:05:23"/>
    <d v="1899-12-30T00:06:25"/>
    <m/>
    <m/>
  </r>
  <r>
    <n v="49"/>
    <d v="2025-12-26T00:00:00"/>
    <n v="537"/>
    <n v="37"/>
    <n v="5"/>
    <x v="1"/>
    <d v="1899-12-30T00:05:37"/>
    <d v="1899-12-30T00:05:49"/>
    <d v="1899-12-30T00:05:37"/>
    <d v="1899-12-30T00:05:50"/>
    <d v="1899-12-30T00:05:23"/>
    <d v="1899-12-30T00:06:25"/>
    <m/>
    <m/>
  </r>
  <r>
    <n v="50"/>
    <d v="2025-12-27T00:00:00"/>
    <n v="541"/>
    <n v="41"/>
    <n v="5"/>
    <x v="1"/>
    <d v="1899-12-30T00:05:41"/>
    <d v="1899-12-30T00:05:49"/>
    <d v="1899-12-30T00:05:41"/>
    <d v="1899-12-30T00:05:49"/>
    <d v="1899-12-30T00:05:23"/>
    <d v="1899-12-30T00:06:25"/>
    <m/>
    <m/>
  </r>
  <r>
    <n v="51"/>
    <d v="2025-12-28T00:00:00"/>
    <n v="541"/>
    <n v="41"/>
    <n v="5"/>
    <x v="1"/>
    <d v="1899-12-30T00:05:41"/>
    <d v="1899-12-30T00:05:50"/>
    <d v="1899-12-30T00:05:41"/>
    <d v="1899-12-30T00:05:49"/>
    <d v="1899-12-30T00:05:23"/>
    <d v="1899-12-30T00:06:25"/>
    <m/>
    <m/>
  </r>
  <r>
    <n v="52"/>
    <d v="2025-12-29T00:00:00"/>
    <n v="623"/>
    <n v="23"/>
    <n v="6"/>
    <x v="1"/>
    <d v="1899-12-30T00:06:23"/>
    <d v="1899-12-30T00:05:50"/>
    <d v="1899-12-30T00:06:23"/>
    <d v="1899-12-30T00:05:50"/>
    <d v="1899-12-30T00:05:23"/>
    <d v="1899-12-30T00:06:25"/>
    <m/>
    <m/>
  </r>
  <r>
    <n v="53"/>
    <d v="2025-12-31T00:00:00"/>
    <n v="557"/>
    <n v="57"/>
    <n v="5"/>
    <x v="1"/>
    <d v="1899-12-30T00:05:57"/>
    <d v="1899-12-30T00:05:50"/>
    <d v="1899-12-30T00:05:57"/>
    <d v="1899-12-30T00:05:50"/>
    <d v="1899-12-30T00:05:23"/>
    <d v="1899-12-30T00:06:25"/>
    <m/>
    <m/>
  </r>
  <r>
    <n v="54"/>
    <d v="2026-01-01T00:00:00"/>
    <n v="529"/>
    <n v="29"/>
    <n v="5"/>
    <x v="2"/>
    <d v="1899-12-30T00:05:29"/>
    <d v="1899-12-30T00:05:50"/>
    <d v="1899-12-30T00:05:29"/>
    <d v="1899-12-30T00:05:50"/>
    <d v="1899-12-30T00:05:14"/>
    <d v="1899-12-30T00:05:54"/>
    <m/>
    <m/>
  </r>
  <r>
    <n v="55"/>
    <d v="2026-01-02T00:00:00"/>
    <n v="554"/>
    <n v="54"/>
    <n v="5"/>
    <x v="2"/>
    <d v="1899-12-30T00:05:54"/>
    <d v="1899-12-30T00:05:49"/>
    <d v="1899-12-30T00:05:54"/>
    <d v="1899-12-30T00:05:50"/>
    <d v="1899-12-30T00:05:14"/>
    <d v="1899-12-30T00:05:54"/>
    <m/>
    <m/>
  </r>
  <r>
    <n v="56"/>
    <d v="2026-01-03T00:00:00"/>
    <n v="538"/>
    <n v="38"/>
    <n v="5"/>
    <x v="2"/>
    <d v="1899-12-30T00:05:38"/>
    <d v="1899-12-30T00:05:49"/>
    <d v="1899-12-30T00:05:38"/>
    <d v="1899-12-30T00:05:49"/>
    <d v="1899-12-30T00:05:14"/>
    <d v="1899-12-30T00:05:54"/>
    <m/>
    <m/>
  </r>
  <r>
    <n v="57"/>
    <d v="2026-01-04T00:00:00"/>
    <n v="542"/>
    <n v="42"/>
    <n v="5"/>
    <x v="2"/>
    <d v="1899-12-30T00:05:42"/>
    <d v="1899-12-30T00:05:49"/>
    <d v="1899-12-30T00:05:42"/>
    <d v="1899-12-30T00:05:49"/>
    <d v="1899-12-30T00:05:14"/>
    <d v="1899-12-30T00:05:54"/>
    <m/>
    <m/>
  </r>
  <r>
    <n v="58"/>
    <d v="2026-01-05T00:00:00"/>
    <n v="530"/>
    <n v="30"/>
    <n v="5"/>
    <x v="2"/>
    <d v="1899-12-30T00:05:30"/>
    <d v="1899-12-30T00:05:49"/>
    <d v="1899-12-30T00:05:30"/>
    <d v="1899-12-30T00:05:49"/>
    <d v="1899-12-30T00:05:14"/>
    <d v="1899-12-30T00:05:54"/>
    <m/>
    <m/>
  </r>
  <r>
    <n v="59"/>
    <d v="2026-01-08T00:00:00"/>
    <n v="528"/>
    <n v="28"/>
    <n v="5"/>
    <x v="2"/>
    <d v="1899-12-30T00:05:28"/>
    <d v="1899-12-30T00:05:48"/>
    <d v="1899-12-30T00:05:28"/>
    <d v="1899-12-30T00:05:49"/>
    <d v="1899-12-30T00:05:14"/>
    <d v="1899-12-30T00:05:54"/>
    <m/>
    <m/>
  </r>
  <r>
    <n v="60"/>
    <d v="2026-01-09T00:00:00"/>
    <n v="521"/>
    <n v="21"/>
    <n v="5"/>
    <x v="2"/>
    <d v="1899-12-30T00:05:21"/>
    <d v="1899-12-30T00:05:48"/>
    <d v="1899-12-30T00:05:21"/>
    <d v="1899-12-30T00:05:48"/>
    <d v="1899-12-30T00:05:14"/>
    <d v="1899-12-30T00:05:54"/>
    <m/>
    <m/>
  </r>
  <r>
    <n v="61"/>
    <d v="2026-01-12T00:00:00"/>
    <n v="539"/>
    <n v="39"/>
    <n v="5"/>
    <x v="2"/>
    <d v="1899-12-30T00:05:39"/>
    <d v="1899-12-30T00:05:48"/>
    <d v="1899-12-30T00:05:39"/>
    <d v="1899-12-30T00:05:48"/>
    <d v="1899-12-30T00:05:14"/>
    <d v="1899-12-30T00:05:54"/>
    <m/>
    <m/>
  </r>
  <r>
    <n v="62"/>
    <d v="2026-01-13T00:00:00"/>
    <n v="550"/>
    <n v="50"/>
    <n v="5"/>
    <x v="2"/>
    <d v="1899-12-30T00:05:50"/>
    <d v="1899-12-30T00:05:48"/>
    <d v="1899-12-30T00:05:50"/>
    <d v="1899-12-30T00:05:48"/>
    <d v="1899-12-30T00:05:14"/>
    <d v="1899-12-30T00:05:54"/>
    <m/>
    <m/>
  </r>
  <r>
    <n v="63"/>
    <d v="2026-01-14T00:00:00"/>
    <n v="532"/>
    <n v="32"/>
    <n v="5"/>
    <x v="2"/>
    <d v="1899-12-30T00:05:32"/>
    <d v="1899-12-30T00:05:48"/>
    <d v="1899-12-30T00:05:32"/>
    <d v="1899-12-30T00:05:48"/>
    <d v="1899-12-30T00:05:14"/>
    <d v="1899-12-30T00:05:54"/>
    <m/>
    <m/>
  </r>
  <r>
    <n v="64"/>
    <d v="2026-01-15T00:00:00"/>
    <n v="530"/>
    <n v="30"/>
    <n v="5"/>
    <x v="2"/>
    <d v="1899-12-30T00:05:30"/>
    <d v="1899-12-30T00:05:47"/>
    <d v="1899-12-30T00:05:30"/>
    <d v="1899-12-30T00:05:48"/>
    <d v="1899-12-30T00:05:14"/>
    <d v="1899-12-30T00:05:54"/>
    <m/>
    <m/>
  </r>
  <r>
    <n v="65"/>
    <d v="2026-01-16T00:00:00"/>
    <n v="522"/>
    <n v="22"/>
    <n v="5"/>
    <x v="2"/>
    <d v="1899-12-30T00:05:22"/>
    <d v="1899-12-30T00:05:47"/>
    <d v="1899-12-30T00:05:22"/>
    <d v="1899-12-30T00:05:47"/>
    <d v="1899-12-30T00:05:14"/>
    <d v="1899-12-30T00:05:54"/>
    <m/>
    <m/>
  </r>
  <r>
    <n v="66"/>
    <d v="2026-01-17T00:00:00"/>
    <n v="522"/>
    <n v="22"/>
    <n v="5"/>
    <x v="2"/>
    <d v="1899-12-30T00:05:22"/>
    <d v="1899-12-30T00:05:47"/>
    <d v="1899-12-30T00:05:22"/>
    <d v="1899-12-30T00:05:47"/>
    <d v="1899-12-30T00:05:14"/>
    <d v="1899-12-30T00:05:54"/>
    <m/>
    <m/>
  </r>
  <r>
    <n v="67"/>
    <d v="2026-01-20T00:00:00"/>
    <n v="536"/>
    <n v="36"/>
    <n v="5"/>
    <x v="2"/>
    <d v="1899-12-30T00:05:36"/>
    <d v="1899-12-30T00:05:46"/>
    <d v="1899-12-30T00:05:36"/>
    <d v="1899-12-30T00:05:47"/>
    <d v="1899-12-30T00:05:14"/>
    <d v="1899-12-30T00:05:54"/>
    <m/>
    <m/>
  </r>
  <r>
    <n v="68"/>
    <d v="2026-01-21T00:00:00"/>
    <n v="521"/>
    <n v="21"/>
    <n v="5"/>
    <x v="2"/>
    <d v="1899-12-30T00:05:21"/>
    <d v="1899-12-30T00:05:46"/>
    <d v="1899-12-30T00:05:21"/>
    <d v="1899-12-30T00:05:46"/>
    <d v="1899-12-30T00:05:14"/>
    <d v="1899-12-30T00:05:54"/>
    <m/>
    <m/>
  </r>
  <r>
    <n v="69"/>
    <d v="2026-01-22T00:00:00"/>
    <n v="547"/>
    <n v="47"/>
    <n v="5"/>
    <x v="2"/>
    <d v="1899-12-30T00:05:47"/>
    <d v="1899-12-30T00:05:46"/>
    <d v="1899-12-30T00:05:47"/>
    <d v="1899-12-30T00:05:46"/>
    <d v="1899-12-30T00:05:14"/>
    <d v="1899-12-30T00:05:54"/>
    <m/>
    <m/>
  </r>
  <r>
    <n v="70"/>
    <d v="2026-01-23T00:00:00"/>
    <n v="525"/>
    <n v="25"/>
    <n v="5"/>
    <x v="2"/>
    <d v="1899-12-30T00:05:25"/>
    <d v="1899-12-30T00:05:46"/>
    <d v="1899-12-30T00:05:25"/>
    <d v="1899-12-30T00:05:46"/>
    <d v="1899-12-30T00:05:14"/>
    <d v="1899-12-30T00:05:54"/>
    <m/>
    <m/>
  </r>
  <r>
    <n v="71"/>
    <d v="2026-01-24T00:00:00"/>
    <n v="529"/>
    <n v="29"/>
    <n v="5"/>
    <x v="2"/>
    <d v="1899-12-30T00:05:29"/>
    <d v="1899-12-30T00:05:45"/>
    <d v="1899-12-30T00:05:29"/>
    <d v="1899-12-30T00:05:46"/>
    <d v="1899-12-30T00:05:14"/>
    <d v="1899-12-30T00:05:54"/>
    <m/>
    <m/>
  </r>
  <r>
    <n v="72"/>
    <d v="2026-01-25T00:00:00"/>
    <n v="518"/>
    <n v="18"/>
    <n v="5"/>
    <x v="2"/>
    <d v="1899-12-30T00:05:18"/>
    <d v="1899-12-30T00:05:45"/>
    <d v="1899-12-30T00:05:18"/>
    <d v="1899-12-30T00:05:45"/>
    <d v="1899-12-30T00:05:14"/>
    <d v="1899-12-30T00:05:54"/>
    <m/>
    <m/>
  </r>
  <r>
    <n v="73"/>
    <d v="2026-01-27T00:00:00"/>
    <n v="540"/>
    <n v="40"/>
    <n v="5"/>
    <x v="2"/>
    <d v="1899-12-30T00:05:40"/>
    <d v="1899-12-30T00:05:45"/>
    <d v="1899-12-30T00:05:40"/>
    <d v="1899-12-30T00:05:45"/>
    <d v="1899-12-30T00:05:14"/>
    <d v="1899-12-30T00:05:54"/>
    <m/>
    <m/>
  </r>
  <r>
    <n v="74"/>
    <d v="2026-01-29T00:00:00"/>
    <n v="514"/>
    <n v="14"/>
    <n v="5"/>
    <x v="2"/>
    <d v="1899-12-30T00:05:14"/>
    <d v="1899-12-30T00:05:45"/>
    <d v="1899-12-30T00:05:14"/>
    <d v="1899-12-30T00:05:45"/>
    <d v="1899-12-30T00:05:14"/>
    <d v="1899-12-30T00:05:54"/>
    <m/>
    <m/>
  </r>
  <r>
    <n v="75"/>
    <d v="2026-01-30T00:00:00"/>
    <n v="532"/>
    <n v="32"/>
    <n v="5"/>
    <x v="2"/>
    <d v="1899-12-30T00:05:32"/>
    <d v="1899-12-30T00:05:44"/>
    <d v="1899-12-30T00:05:32"/>
    <d v="1899-12-30T00:05:45"/>
    <d v="1899-12-30T00:05:14"/>
    <d v="1899-12-30T00:05:54"/>
    <m/>
    <m/>
  </r>
  <r>
    <n v="76"/>
    <d v="2026-02-05T00:00:00"/>
    <n v="527"/>
    <n v="27"/>
    <n v="5"/>
    <x v="3"/>
    <d v="1899-12-30T00:05:27"/>
    <d v="1899-12-30T00:05:44"/>
    <d v="1899-12-30T00:05:27"/>
    <d v="1899-12-30T00:05:44"/>
    <d v="1899-12-30T00:04:55"/>
    <d v="1899-12-30T00:06:02"/>
    <m/>
    <m/>
  </r>
  <r>
    <n v="77"/>
    <d v="2026-02-08T00:00:00"/>
    <n v="531"/>
    <n v="31"/>
    <n v="5"/>
    <x v="3"/>
    <d v="1899-12-30T00:05:31"/>
    <d v="1899-12-30T00:05:44"/>
    <d v="1899-12-30T00:05:31"/>
    <d v="1899-12-30T00:05:44"/>
    <d v="1899-12-30T00:04:55"/>
    <d v="1899-12-30T00:06:02"/>
    <m/>
    <m/>
  </r>
  <r>
    <n v="78"/>
    <d v="2026-02-09T00:00:00"/>
    <n v="528"/>
    <n v="28"/>
    <n v="5"/>
    <x v="3"/>
    <d v="1899-12-30T00:05:28"/>
    <d v="1899-12-30T00:05:44"/>
    <d v="1899-12-30T00:05:28"/>
    <d v="1899-12-30T00:05:44"/>
    <d v="1899-12-30T00:04:55"/>
    <d v="1899-12-30T00:06:02"/>
    <m/>
    <m/>
  </r>
  <r>
    <n v="79"/>
    <d v="2026-02-10T00:00:00"/>
    <n v="515"/>
    <n v="15"/>
    <n v="5"/>
    <x v="3"/>
    <d v="1899-12-30T00:05:15"/>
    <d v="1899-12-30T00:05:43"/>
    <d v="1899-12-30T00:05:15"/>
    <d v="1899-12-30T00:05:44"/>
    <d v="1899-12-30T00:04:55"/>
    <d v="1899-12-30T00:06:02"/>
    <m/>
    <m/>
  </r>
  <r>
    <n v="80"/>
    <d v="2026-02-11T00:00:00"/>
    <n v="516"/>
    <n v="16"/>
    <n v="5"/>
    <x v="3"/>
    <d v="1899-12-30T00:05:16"/>
    <d v="1899-12-30T00:05:43"/>
    <d v="1899-12-30T00:05:16"/>
    <d v="1899-12-30T00:05:43"/>
    <d v="1899-12-30T00:04:55"/>
    <d v="1899-12-30T00:06:02"/>
    <m/>
    <m/>
  </r>
  <r>
    <n v="81"/>
    <d v="2026-02-12T00:00:00"/>
    <n v="524"/>
    <n v="24"/>
    <n v="5"/>
    <x v="3"/>
    <d v="1899-12-30T00:05:24"/>
    <d v="1899-12-30T00:05:43"/>
    <d v="1899-12-30T00:05:24"/>
    <d v="1899-12-30T00:05:43"/>
    <d v="1899-12-30T00:04:55"/>
    <d v="1899-12-30T00:06:02"/>
    <m/>
    <m/>
  </r>
  <r>
    <n v="82"/>
    <d v="2026-02-13T00:00:00"/>
    <n v="510"/>
    <n v="10"/>
    <n v="5"/>
    <x v="3"/>
    <d v="1899-12-30T00:05:10"/>
    <d v="1899-12-30T00:05:42"/>
    <d v="1899-12-30T00:05:10"/>
    <d v="1899-12-30T00:05:43"/>
    <d v="1899-12-30T00:04:55"/>
    <d v="1899-12-30T00:06:02"/>
    <m/>
    <m/>
  </r>
  <r>
    <n v="83"/>
    <d v="2026-02-14T00:00:00"/>
    <n v="524"/>
    <n v="24"/>
    <n v="5"/>
    <x v="3"/>
    <d v="1899-12-30T00:05:24"/>
    <d v="1899-12-30T00:05:42"/>
    <d v="1899-12-30T00:05:24"/>
    <d v="1899-12-30T00:05:42"/>
    <d v="1899-12-30T00:04:55"/>
    <d v="1899-12-30T00:06:02"/>
    <m/>
    <m/>
  </r>
  <r>
    <n v="84"/>
    <d v="2026-02-15T00:00:00"/>
    <n v="529"/>
    <n v="29"/>
    <n v="5"/>
    <x v="3"/>
    <d v="1899-12-30T00:05:29"/>
    <d v="1899-12-30T00:05:43"/>
    <d v="1899-12-30T00:05:29"/>
    <d v="1899-12-30T00:05:42"/>
    <d v="1899-12-30T00:04:55"/>
    <d v="1899-12-30T00:06:02"/>
    <m/>
    <m/>
  </r>
  <r>
    <n v="85"/>
    <d v="2026-02-16T00:00:00"/>
    <n v="602"/>
    <n v="2"/>
    <n v="6"/>
    <x v="3"/>
    <d v="1899-12-30T00:06:02"/>
    <d v="1899-12-30T00:05:42"/>
    <d v="1899-12-30T00:06:02"/>
    <d v="1899-12-30T00:05:43"/>
    <d v="1899-12-30T00:04:55"/>
    <d v="1899-12-30T00:06:02"/>
    <m/>
    <m/>
  </r>
  <r>
    <n v="86"/>
    <d v="2026-02-17T00:00:00"/>
    <n v="524"/>
    <n v="24"/>
    <n v="5"/>
    <x v="3"/>
    <d v="1899-12-30T00:05:24"/>
    <d v="1899-12-30T00:05:42"/>
    <d v="1899-12-30T00:05:24"/>
    <d v="1899-12-30T00:05:42"/>
    <d v="1899-12-30T00:04:55"/>
    <d v="1899-12-30T00:06:02"/>
    <m/>
    <m/>
  </r>
  <r>
    <n v="87"/>
    <d v="2026-02-18T00:00:00"/>
    <n v="455"/>
    <n v="55"/>
    <n v="4"/>
    <x v="3"/>
    <d v="1899-12-30T00:04:55"/>
    <d v="1899-12-30T00:05:42"/>
    <d v="1899-12-30T00:04:55"/>
    <d v="1899-12-30T00:05:42"/>
    <d v="1899-12-30T00:04:55"/>
    <d v="1899-12-30T00:06:02"/>
    <m/>
    <m/>
  </r>
  <r>
    <n v="88"/>
    <d v="2026-03-02T00:00:00"/>
    <n v="551"/>
    <n v="51"/>
    <n v="5"/>
    <x v="4"/>
    <d v="1899-12-30T00:05:51"/>
    <d v="1899-12-30T00:05:42"/>
    <d v="1899-12-30T00:05:51"/>
    <d v="1899-12-30T00:05:42"/>
    <d v="1899-12-30T00:04:53"/>
    <d v="1899-12-30T00:06:18"/>
    <m/>
    <m/>
  </r>
  <r>
    <n v="89"/>
    <d v="2026-03-03T00:00:00"/>
    <n v="537"/>
    <n v="37"/>
    <n v="5"/>
    <x v="4"/>
    <d v="1899-12-30T00:05:37"/>
    <d v="1899-12-30T00:05:42"/>
    <d v="1899-12-30T00:05:37"/>
    <d v="1899-12-30T00:05:42"/>
    <d v="1899-12-30T00:04:53"/>
    <d v="1899-12-30T00:06:18"/>
    <m/>
    <m/>
  </r>
  <r>
    <n v="90"/>
    <d v="2026-03-06T00:00:00"/>
    <n v="526"/>
    <n v="26"/>
    <n v="5"/>
    <x v="4"/>
    <d v="1899-12-30T00:05:26"/>
    <d v="1899-12-30T00:05:42"/>
    <d v="1899-12-30T00:05:26"/>
    <d v="1899-12-30T00:05:42"/>
    <d v="1899-12-30T00:04:53"/>
    <d v="1899-12-30T00:06:18"/>
    <m/>
    <m/>
  </r>
  <r>
    <n v="91"/>
    <d v="2026-03-07T00:00:00"/>
    <n v="557"/>
    <n v="57"/>
    <n v="5"/>
    <x v="4"/>
    <d v="1899-12-30T00:05:57"/>
    <d v="1899-12-30T00:05:42"/>
    <d v="1899-12-30T00:05:57"/>
    <d v="1899-12-30T00:05:42"/>
    <d v="1899-12-30T00:04:53"/>
    <d v="1899-12-30T00:06:18"/>
    <m/>
    <m/>
  </r>
  <r>
    <n v="92"/>
    <d v="2026-03-08T00:00:00"/>
    <n v="540"/>
    <n v="40"/>
    <n v="5"/>
    <x v="4"/>
    <d v="1899-12-30T00:05:40"/>
    <d v="1899-12-30T00:05:42"/>
    <d v="1899-12-30T00:05:40"/>
    <d v="1899-12-30T00:05:42"/>
    <d v="1899-12-30T00:04:53"/>
    <d v="1899-12-30T00:06:18"/>
    <m/>
    <m/>
  </r>
  <r>
    <n v="93"/>
    <d v="2026-03-12T00:00:00"/>
    <n v="525"/>
    <n v="25"/>
    <n v="5"/>
    <x v="4"/>
    <d v="1899-12-30T00:05:25"/>
    <d v="1899-12-30T00:05:41"/>
    <d v="1899-12-30T00:05:25"/>
    <d v="1899-12-30T00:05:42"/>
    <d v="1899-12-30T00:04:53"/>
    <d v="1899-12-30T00:06:18"/>
    <m/>
    <m/>
  </r>
  <r>
    <n v="94"/>
    <d v="2026-03-13T00:00:00"/>
    <n v="526"/>
    <n v="26"/>
    <n v="5"/>
    <x v="4"/>
    <d v="1899-12-30T00:05:26"/>
    <d v="1899-12-30T00:05:42"/>
    <d v="1899-12-30T00:05:26"/>
    <d v="1899-12-30T00:05:41"/>
    <d v="1899-12-30T00:04:53"/>
    <d v="1899-12-30T00:06:18"/>
    <m/>
    <m/>
  </r>
  <r>
    <n v="95"/>
    <d v="2026-03-14T00:00:00"/>
    <n v="618"/>
    <n v="18"/>
    <n v="6"/>
    <x v="4"/>
    <d v="1899-12-30T00:06:18"/>
    <d v="1899-12-30T00:05:42"/>
    <d v="1899-12-30T00:06:18"/>
    <d v="1899-12-30T00:05:42"/>
    <d v="1899-12-30T00:04:53"/>
    <d v="1899-12-30T00:06:18"/>
    <m/>
    <m/>
  </r>
  <r>
    <n v="96"/>
    <d v="2026-03-16T00:00:00"/>
    <n v="554"/>
    <n v="54"/>
    <n v="5"/>
    <x v="4"/>
    <d v="1899-12-30T00:05:54"/>
    <d v="1899-12-30T00:05:42"/>
    <d v="1899-12-30T00:05:54"/>
    <d v="1899-12-30T00:05:42"/>
    <d v="1899-12-30T00:04:53"/>
    <d v="1899-12-30T00:06:18"/>
    <m/>
    <m/>
  </r>
  <r>
    <n v="97"/>
    <d v="2026-03-17T00:00:00"/>
    <n v="552"/>
    <n v="52"/>
    <n v="5"/>
    <x v="4"/>
    <d v="1899-12-30T00:05:52"/>
    <d v="1899-12-30T00:05:42"/>
    <d v="1899-12-30T00:05:52"/>
    <d v="1899-12-30T00:05:42"/>
    <d v="1899-12-30T00:04:53"/>
    <d v="1899-12-30T00:06:18"/>
    <m/>
    <m/>
  </r>
  <r>
    <n v="98"/>
    <d v="2026-03-21T00:00:00"/>
    <n v="511"/>
    <n v="11"/>
    <n v="5"/>
    <x v="4"/>
    <d v="1899-12-30T00:05:11"/>
    <d v="1899-12-30T00:05:41"/>
    <d v="1899-12-30T00:05:11"/>
    <d v="1899-12-30T00:05:42"/>
    <d v="1899-12-30T00:04:53"/>
    <d v="1899-12-30T00:06:18"/>
    <m/>
    <m/>
  </r>
  <r>
    <n v="99"/>
    <d v="2026-03-22T00:00:00"/>
    <n v="453"/>
    <n v="53"/>
    <n v="4"/>
    <x v="4"/>
    <d v="1899-12-30T00:04:53"/>
    <d v="1899-12-30T00:05:41"/>
    <d v="1899-12-30T00:04:53"/>
    <d v="1899-12-30T00:05:41"/>
    <d v="1899-12-30T00:04:53"/>
    <d v="1899-12-30T00:06:18"/>
    <m/>
    <m/>
  </r>
  <r>
    <n v="100"/>
    <d v="2026-03-24T00:00:00"/>
    <n v="515"/>
    <n v="15"/>
    <n v="5"/>
    <x v="4"/>
    <d v="1899-12-30T00:05:15"/>
    <d v="1899-12-30T00:05:41"/>
    <d v="1899-12-30T00:05:15"/>
    <d v="1899-12-30T00:05:41"/>
    <d v="1899-12-30T00:04:53"/>
    <d v="1899-12-30T00:06:18"/>
    <m/>
    <m/>
  </r>
  <r>
    <n v="101"/>
    <d v="2026-03-25T00:00:00"/>
    <n v="524"/>
    <n v="24"/>
    <n v="5"/>
    <x v="4"/>
    <d v="1899-12-30T00:05:24"/>
    <d v="1899-12-30T00:05:41"/>
    <d v="1899-12-30T00:05:24"/>
    <d v="1899-12-30T00:05:41"/>
    <d v="1899-12-30T00:04:53"/>
    <d v="1899-12-30T00:06:18"/>
    <m/>
    <m/>
  </r>
  <r>
    <n v="102"/>
    <d v="2026-03-26T00:00:00"/>
    <n v="516"/>
    <n v="16"/>
    <n v="5"/>
    <x v="4"/>
    <d v="1899-12-30T00:05:16"/>
    <d v="1899-12-30T00:05:40"/>
    <d v="1899-12-30T00:05:16"/>
    <d v="1899-12-30T00:05:41"/>
    <d v="1899-12-30T00:04:53"/>
    <d v="1899-12-30T00:06:18"/>
    <m/>
    <m/>
  </r>
  <r>
    <n v="103"/>
    <d v="2026-03-27T00:00:00"/>
    <n v="518"/>
    <n v="18"/>
    <n v="5"/>
    <x v="4"/>
    <d v="1899-12-30T00:05:18"/>
    <d v="1899-12-30T00:05:40"/>
    <d v="1899-12-30T00:05:18"/>
    <d v="1899-12-30T00:05:40"/>
    <d v="1899-12-30T00:04:53"/>
    <d v="1899-12-30T00:06:18"/>
    <m/>
    <m/>
  </r>
  <r>
    <n v="104"/>
    <d v="2026-03-28T00:00:00"/>
    <n v="543"/>
    <n v="43"/>
    <n v="5"/>
    <x v="4"/>
    <d v="1899-12-30T00:05:43"/>
    <d v="1899-12-30T00:05:40"/>
    <d v="1899-12-30T00:05:43"/>
    <d v="1899-12-30T00:05:40"/>
    <d v="1899-12-30T00:04:53"/>
    <d v="1899-12-30T00:06:18"/>
    <m/>
    <m/>
  </r>
  <r>
    <n v="105"/>
    <d v="2026-03-29T00:00:00"/>
    <n v="521"/>
    <n v="21"/>
    <n v="5"/>
    <x v="4"/>
    <d v="1899-12-30T00:05:21"/>
    <d v="1899-12-30T00:05:40"/>
    <d v="1899-12-30T00:05:21"/>
    <d v="1899-12-30T00:05:40"/>
    <d v="1899-12-30T00:04:53"/>
    <d v="1899-12-30T00:06:18"/>
    <m/>
    <m/>
  </r>
  <r>
    <n v="106"/>
    <d v="2026-03-31T00:00:00"/>
    <n v="517"/>
    <n v="17"/>
    <n v="5"/>
    <x v="4"/>
    <d v="1899-12-30T00:05:17"/>
    <d v="1899-12-30T00:05:40"/>
    <d v="1899-12-30T00:05:17"/>
    <d v="1899-12-30T00:05:40"/>
    <d v="1899-12-30T00:04:53"/>
    <d v="1899-12-30T00:06:18"/>
    <m/>
    <m/>
  </r>
  <r>
    <n v="107"/>
    <d v="2026-04-01T00:00:00"/>
    <n v="530"/>
    <n v="30"/>
    <n v="5"/>
    <x v="5"/>
    <d v="1899-12-30T00:05:30"/>
    <d v="1899-12-30T00:05:40"/>
    <d v="1899-12-30T00:05:30"/>
    <d v="1899-12-30T00:05:40"/>
    <d v="1899-12-30T00:04:56"/>
    <d v="1899-12-30T00:05:54"/>
    <m/>
    <m/>
  </r>
  <r>
    <n v="108"/>
    <d v="2026-04-02T00:00:00"/>
    <n v="554"/>
    <n v="54"/>
    <n v="5"/>
    <x v="5"/>
    <d v="1899-12-30T00:05:54"/>
    <d v="1899-12-30T00:05:40"/>
    <d v="1899-12-30T00:05:54"/>
    <d v="1899-12-30T00:05:40"/>
    <d v="1899-12-30T00:04:56"/>
    <d v="1899-12-30T00:05:54"/>
    <m/>
    <m/>
  </r>
  <r>
    <n v="109"/>
    <d v="2026-04-03T00:00:00"/>
    <n v="532"/>
    <n v="32"/>
    <n v="5"/>
    <x v="5"/>
    <d v="1899-12-30T00:05:32"/>
    <d v="1899-12-30T00:05:40"/>
    <d v="1899-12-30T00:05:32"/>
    <d v="1899-12-30T00:05:40"/>
    <d v="1899-12-30T00:04:56"/>
    <d v="1899-12-30T00:05:54"/>
    <m/>
    <m/>
  </r>
  <r>
    <n v="110"/>
    <d v="2026-04-06T00:00:00"/>
    <n v="512"/>
    <n v="12"/>
    <n v="5"/>
    <x v="5"/>
    <d v="1899-12-30T00:05:12"/>
    <d v="1899-12-30T00:05:39"/>
    <d v="1899-12-30T00:05:12"/>
    <d v="1899-12-30T00:05:40"/>
    <d v="1899-12-30T00:04:56"/>
    <d v="1899-12-30T00:05:54"/>
    <m/>
    <m/>
  </r>
  <r>
    <n v="111"/>
    <d v="2026-04-07T00:00:00"/>
    <n v="510"/>
    <n v="10"/>
    <n v="5"/>
    <x v="5"/>
    <d v="1899-12-30T00:05:10"/>
    <d v="1899-12-30T00:05:39"/>
    <d v="1899-12-30T00:05:10"/>
    <d v="1899-12-30T00:05:39"/>
    <d v="1899-12-30T00:04:56"/>
    <d v="1899-12-30T00:05:54"/>
    <m/>
    <m/>
  </r>
  <r>
    <n v="112"/>
    <d v="2026-04-08T00:00:00"/>
    <n v="514"/>
    <n v="14"/>
    <n v="5"/>
    <x v="5"/>
    <d v="1899-12-30T00:05:14"/>
    <d v="1899-12-30T00:05:39"/>
    <d v="1899-12-30T00:05:14"/>
    <d v="1899-12-30T00:05:39"/>
    <d v="1899-12-30T00:04:56"/>
    <d v="1899-12-30T00:05:54"/>
    <m/>
    <m/>
  </r>
  <r>
    <n v="113"/>
    <d v="2026-04-09T00:00:00"/>
    <n v="502"/>
    <n v="2"/>
    <n v="5"/>
    <x v="5"/>
    <d v="1899-12-30T00:05:02"/>
    <d v="1899-12-30T00:05:38"/>
    <d v="1899-12-30T00:05:02"/>
    <d v="1899-12-30T00:05:39"/>
    <d v="1899-12-30T00:04:56"/>
    <d v="1899-12-30T00:05:54"/>
    <m/>
    <m/>
  </r>
  <r>
    <n v="114"/>
    <d v="2026-04-10T00:00:00"/>
    <n v="457"/>
    <n v="57"/>
    <n v="4"/>
    <x v="5"/>
    <d v="1899-12-30T00:04:57"/>
    <d v="1899-12-30T00:05:38"/>
    <d v="1899-12-30T00:04:57"/>
    <d v="1899-12-30T00:05:38"/>
    <d v="1899-12-30T00:04:56"/>
    <d v="1899-12-30T00:05:54"/>
    <m/>
    <m/>
  </r>
  <r>
    <n v="115"/>
    <d v="2026-04-11T00:00:00"/>
    <n v="521"/>
    <n v="21"/>
    <n v="5"/>
    <x v="5"/>
    <d v="1899-12-30T00:05:21"/>
    <d v="1899-12-30T00:05:38"/>
    <d v="1899-12-30T00:05:21"/>
    <d v="1899-12-30T00:05:38"/>
    <d v="1899-12-30T00:04:56"/>
    <d v="1899-12-30T00:05:54"/>
    <m/>
    <m/>
  </r>
  <r>
    <n v="116"/>
    <d v="2026-04-12T00:00:00"/>
    <n v="510"/>
    <n v="10"/>
    <n v="5"/>
    <x v="5"/>
    <d v="1899-12-30T00:05:10"/>
    <d v="1899-12-30T00:05:38"/>
    <d v="1899-12-30T00:05:10"/>
    <d v="1899-12-30T00:05:38"/>
    <d v="1899-12-30T00:04:56"/>
    <d v="1899-12-30T00:05:54"/>
    <m/>
    <m/>
  </r>
  <r>
    <n v="117"/>
    <d v="2026-04-15T00:00:00"/>
    <n v="456"/>
    <n v="56"/>
    <n v="4"/>
    <x v="5"/>
    <d v="1899-12-30T00:04:56"/>
    <d v="1899-12-30T00:05:38"/>
    <d v="1899-12-30T00:04:56"/>
    <d v="1899-12-30T00:05:38"/>
    <d v="1899-12-30T00:04:56"/>
    <d v="1899-12-30T00:05:5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76D51-6AD8-4DB1-B841-D7377DDA3C6E}" name="PivotTable2" cacheId="0" applyNumberFormats="0" applyBorderFormats="0" applyFontFormats="0" applyPatternFormats="0" applyAlignmentFormats="0" applyWidthHeightFormats="1" dataCaption="Values" grandTotalCaption="Overall" updatedVersion="7" minRefreshableVersion="3" useAutoFormatting="1" itemPrintTitles="1" createdVersion="7" indent="0" outline="1" outlineData="1" multipleFieldFilters="0" rowHeaderCaption="Month">
  <location ref="A3:F10" firstHeaderRow="0" firstDataRow="1" firstDataCol="1"/>
  <pivotFields count="14">
    <pivotField showAll="0"/>
    <pivotField numFmtId="166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8" showAll="0"/>
    <pivotField numFmtId="168" showAll="0"/>
    <pivotField dataField="1" numFmtId="167" showAll="0"/>
    <pivotField numFmtId="167" showAll="0"/>
    <pivotField numFmtId="167" showAll="0"/>
    <pivotField numFmtId="167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5K Runs" fld="8" subtotal="count" baseField="5" baseItem="1"/>
    <dataField name="Pace Consistency (s)" fld="8" subtotal="stdDev" baseField="5" baseItem="0" numFmtId="173"/>
    <dataField name="Slowest pace" fld="8" subtotal="max" baseField="5" baseItem="3"/>
    <dataField name="Fastest pace" fld="8" subtotal="min" baseField="5" baseItem="3"/>
    <dataField name="Average pace (min/km)" fld="8" subtotal="average" baseField="5" baseItem="0" numFmtId="172"/>
  </dataFields>
  <formats count="19">
    <format dxfId="64">
      <pivotArea collapsedLevelsAreSubtotals="1" fieldPosition="0">
        <references count="1">
          <reference field="5" count="0"/>
        </references>
      </pivotArea>
    </format>
    <format dxfId="63">
      <pivotArea grandRow="1"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0">
      <pivotArea outline="0" collapsedLevelsAreSubtotals="1" fieldPosition="0"/>
    </format>
    <format dxfId="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field="5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7">
      <pivotArea field="5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544BF-6B92-4C01-B1AE-22B5C968D3CE}" name="Table2" displayName="Table2" ref="A1:N118" totalsRowShown="0" headerRowDxfId="45" tableBorderDxfId="44">
  <autoFilter ref="A1:N118" xr:uid="{DA9544BF-6B92-4C01-B1AE-22B5C968D3CE}"/>
  <tableColumns count="14">
    <tableColumn id="1" xr3:uid="{BB86F766-A1D2-4D25-86B0-9F328193928D}" name="Day" dataDxfId="43"/>
    <tableColumn id="2" xr3:uid="{C43D4C89-A9DB-4D85-8117-6384F0234942}" name="date" dataDxfId="42"/>
    <tableColumn id="3" xr3:uid="{FD71B662-1996-41BF-A391-7D45700856D1}" name="Enter_pace" dataDxfId="41"/>
    <tableColumn id="4" xr3:uid="{38300C01-DCAA-4920-B79B-33F0C0DA8C3D}" name="sec" dataDxfId="40">
      <calculatedColumnFormula>VALUE(RIGHT(C2, 2))</calculatedColumnFormula>
    </tableColumn>
    <tableColumn id="5" xr3:uid="{30DD7502-BE60-4BE9-92FC-40667CBF921A}" name="min" dataDxfId="39">
      <calculatedColumnFormula>VALUE(LEFT(C2,1))</calculatedColumnFormula>
    </tableColumn>
    <tableColumn id="6" xr3:uid="{817A095B-60B0-4CFD-B3DD-F06D277F0393}" name="Month" dataDxfId="38">
      <calculatedColumnFormula>IF(COUNTA(B2)=1,TEXT(B2, "mmmm"), "")</calculatedColumnFormula>
    </tableColumn>
    <tableColumn id="7" xr3:uid="{B136C88E-D773-47D8-B985-02CC147C0A1A}" name="5k_pace_min/km" dataDxfId="37">
      <calculatedColumnFormula>IF(COUNTA(C2)=1,(PSN!$E2+(PSN!$D2/60))/1440, "")</calculatedColumnFormula>
    </tableColumn>
    <tableColumn id="8" xr3:uid="{C862053D-DF0E-4B22-AA0F-2E3F68763B3E}" name="running_average " dataDxfId="36">
      <calculatedColumnFormula>IF(COUNTA(C2)=1,AVERAGE($G$2:G3), "")</calculatedColumnFormula>
    </tableColumn>
    <tableColumn id="9" xr3:uid="{E476B2A9-F8B3-4F13-A19B-4B4F57F7A259}" name="5k_pace" dataDxfId="35">
      <calculatedColumnFormula>IF(COUNTA(C2)=1,((PSN!$E2)+(PSN!$D2/60))/1440, "")</calculatedColumnFormula>
    </tableColumn>
    <tableColumn id="10" xr3:uid="{4980576D-2B81-4F16-BCB6-CB8EBE07ADCE}" name="running_avg" dataDxfId="34">
      <calculatedColumnFormula>AVERAGE($I$2:I2)</calculatedColumnFormula>
    </tableColumn>
    <tableColumn id="11" xr3:uid="{2EC987FC-4C89-4D49-A037-C3C11D084226}" name="top_pace" dataDxfId="33">
      <calculatedColumnFormula>_xlfn.MINIFS(I:I,B:B,"&gt;="&amp;EOMONTH(B2,-1)+1,B:B,"&lt;="&amp;EOMONTH(B2,0))</calculatedColumnFormula>
    </tableColumn>
    <tableColumn id="12" xr3:uid="{3DA23C4F-18B8-4FF2-BC50-C9E4A599C43A}" name="bot_pace" dataDxfId="32">
      <calculatedColumnFormula>_xlfn.MAXIFS(I:I,B:B,"&gt;="&amp;EOMONTH(B2,-1)+1,B:B,"&lt;="&amp;EOMONTH(B2,0))</calculatedColumnFormula>
    </tableColumn>
    <tableColumn id="13" xr3:uid="{14443701-AC8F-4E90-BC20-D5C1273EC9FB}" name="median pace" dataDxfId="31"/>
    <tableColumn id="14" xr3:uid="{B59E8921-6444-44F0-82BC-CDBACDCA6019}" name="Column2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A1459-F73F-482C-9F75-B486D17511F6}" name="Table1" displayName="Table1" ref="C1:Q349" totalsRowShown="0" headerRowDxfId="28" dataDxfId="26" headerRowBorderDxfId="27" tableBorderDxfId="25">
  <autoFilter ref="C1:Q349" xr:uid="{B83A1459-F73F-482C-9F75-B486D17511F6}"/>
  <tableColumns count="15">
    <tableColumn id="1" xr3:uid="{52FB5472-CA3A-465C-AD65-CC801088EB8D}" name="Enter_pace" dataDxfId="24"/>
    <tableColumn id="2" xr3:uid="{E440DE8A-129D-4C70-AB95-2E7B7D863AC2}" name="sec" dataDxfId="23">
      <calculatedColumnFormula>VALUE(RIGHT(C2, 2))</calculatedColumnFormula>
    </tableColumn>
    <tableColumn id="3" xr3:uid="{12EA8342-DCC1-44BB-874F-808E08E40730}" name="min" dataDxfId="22">
      <calculatedColumnFormula>VALUE(LEFT(C2,1))</calculatedColumnFormula>
    </tableColumn>
    <tableColumn id="4" xr3:uid="{9382AC25-B159-4C70-8327-9A89FD113631}" name="avg min" dataDxfId="21">
      <calculatedColumnFormula>AVERAGE($E$2:E2)</calculatedColumnFormula>
    </tableColumn>
    <tableColumn id="5" xr3:uid="{268982EB-3159-4D51-8FA9-2797EA2E787C}" name="dec val" dataDxfId="20">
      <calculatedColumnFormula>IF(INT(F2)=F2,0,VALUE(MID(F2,2,4)))</calculatedColumnFormula>
    </tableColumn>
    <tableColumn id="6" xr3:uid="{6450E709-4275-4C0C-B401-209A1FF8F280}" name="min val" dataDxfId="19">
      <calculatedColumnFormula>G2*60</calculatedColumnFormula>
    </tableColumn>
    <tableColumn id="7" xr3:uid="{235329FC-9E4D-4352-8BFC-2CFC25E7E81C}" name="avg sec" dataDxfId="18">
      <calculatedColumnFormula>AVERAGE($D$2:D2)</calculatedColumnFormula>
    </tableColumn>
    <tableColumn id="8" xr3:uid="{6AC61E05-2D74-4E56-BE32-325926ED4503}" name="min+sec" dataDxfId="17">
      <calculatedColumnFormula>H2+I2</calculatedColumnFormula>
    </tableColumn>
    <tableColumn id="9" xr3:uid="{72F44EC0-843E-4C92-B996-833A2BE06C73}" name="Resid sec" dataDxfId="16">
      <calculatedColumnFormula array="1">_xlfn.IFS(J2&gt;60, J2-60, J2&lt;60, J2, J2=60, 0)</calculatedColumnFormula>
    </tableColumn>
    <tableColumn id="10" xr3:uid="{2D911031-3198-4753-8E7D-FB36F0FE1DAE}" name="adj min" dataDxfId="15">
      <calculatedColumnFormula>IF(J2&gt;60, 1 + VALUE(LEFT(F2,1)), VALUE(LEFT(F2,1)))</calculatedColumnFormula>
    </tableColumn>
    <tableColumn id="11" xr3:uid="{B8A9B7C2-C2AF-4209-B5D7-3C11693F1FA3}" name="Val Resid sec" dataDxfId="14">
      <calculatedColumnFormula xml:space="preserve"> VALUE(LEFT(K2,5))</calculatedColumnFormula>
    </tableColumn>
    <tableColumn id="12" xr3:uid="{76AF9A2F-A045-4D98-A928-4239F20E897A}" name="5k avg pace" dataDxfId="13">
      <calculatedColumnFormula>IF(K2&lt;10, CONCATENATE(L2, ":", 0, M2, " min/km"), CONCATENATE(L2, ":", M2, " min/km"))</calculatedColumnFormula>
    </tableColumn>
    <tableColumn id="13" xr3:uid="{F94DB74F-9AE5-47C2-A817-33810D81C785}" name=" 5k_running_avg Pace" dataDxfId="12">
      <calculatedColumnFormula>IF(COUNT(C2)=1, N2, "")</calculatedColumnFormula>
    </tableColumn>
    <tableColumn id="14" xr3:uid="{D0161AE6-3EEA-49D0-9606-3469DD45E0D6}" name="Month" dataDxfId="11">
      <calculatedColumnFormula>IF(COUNTA(B2)=1,TEXT(B2, "mmmm"), "")</calculatedColumnFormula>
    </tableColumn>
    <tableColumn id="15" xr3:uid="{7DF84FA7-3363-4CCE-9C7F-BA36BC5F4228}" name="5k_pace_min/km" dataDxfId="10">
      <calculatedColumnFormula>IF(COUNTA(C2)=1,(Table1[[#This Row],[min]]+(Table1[[#This Row],[sec]]/60))/1440,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80AADB-66AE-4D0E-80D6-E3F2D57C54B5}" name="Table9" displayName="Table9" ref="A1:B349" totalsRowShown="0" headerRowDxfId="9" dataDxfId="8">
  <autoFilter ref="A1:B349" xr:uid="{3780AADB-66AE-4D0E-80D6-E3F2D57C54B5}"/>
  <tableColumns count="2">
    <tableColumn id="1" xr3:uid="{A653B878-829E-460D-AE13-26AF918722CD}" name="Day" dataDxfId="7"/>
    <tableColumn id="2" xr3:uid="{7806DA43-0173-499E-80C6-6C1422F6151E}" name="dat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7C0FB-98A6-43B9-A44B-B8707A3E7C29}" name="Table3" displayName="Table3" ref="A1:I14" totalsRowShown="0" tableBorderDxfId="5">
  <autoFilter ref="A1:I14" xr:uid="{C177C0FB-98A6-43B9-A44B-B8707A3E7C29}"/>
  <tableColumns count="9">
    <tableColumn id="1" xr3:uid="{920DB5C5-15F6-488C-90AB-E0F21704CFD9}" name="Month" dataDxfId="4"/>
    <tableColumn id="2" xr3:uid="{24FA1861-1DD9-4EAD-9378-E0D4A0FD0563}" name="5k_Runs" dataDxfId="3"/>
    <tableColumn id="3" xr3:uid="{082972A7-0E34-4FB1-97FF-F445D283D0B8}" name="Average_5k_time"/>
    <tableColumn id="4" xr3:uid="{4FD7AAF6-817B-43E3-90EF-1C72E13E964B}" name="s/km"/>
    <tableColumn id="5" xr3:uid="{C07FEC8D-B7F4-45A3-B539-7C6DE00CE3C0}" name="highest_ pace" dataDxfId="2"/>
    <tableColumn id="6" xr3:uid="{AE17D4EC-E32E-4A5C-92A6-2B5A2716D03F}" name="slowest_pace" dataDxfId="1"/>
    <tableColumn id="7" xr3:uid="{3BB1BB94-F7F0-4BC9-A5B9-379CE9A49585}" name="Average_5k_monthly" dataDxfId="0">
      <calculatedColumnFormula>Table3[[#This Row],[Average_5k_time]]/1440</calculatedColumnFormula>
    </tableColumn>
    <tableColumn id="8" xr3:uid="{E17118ED-D290-4041-B189-768E564C1BC8}" name="monthly_average_pace_difference_MoM_s/km"/>
    <tableColumn id="10" xr3:uid="{07510BFA-15C2-41D5-8A61-D5218B5F2F80}" name="monthly_pace_difference_base_s/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B5AB-C8B9-41F9-8233-0B37EAF24E73}">
  <dimension ref="A1:I15"/>
  <sheetViews>
    <sheetView tabSelected="1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19.140625" bestFit="1" customWidth="1"/>
    <col min="4" max="4" width="12.5703125" bestFit="1" customWidth="1"/>
    <col min="5" max="5" width="11.85546875" bestFit="1" customWidth="1"/>
    <col min="6" max="6" width="22.140625" bestFit="1" customWidth="1"/>
    <col min="7" max="7" width="12.42578125" bestFit="1" customWidth="1"/>
    <col min="8" max="8" width="24.28515625" bestFit="1" customWidth="1"/>
    <col min="9" max="9" width="11.5703125" bestFit="1" customWidth="1"/>
  </cols>
  <sheetData>
    <row r="1" spans="1:9" ht="15.75" thickBot="1" x14ac:dyDescent="0.3"/>
    <row r="2" spans="1:9" ht="15.75" thickBot="1" x14ac:dyDescent="0.3">
      <c r="A2" s="74" t="s">
        <v>62</v>
      </c>
      <c r="B2" s="71"/>
      <c r="C2" s="73" t="s">
        <v>63</v>
      </c>
      <c r="D2" s="71"/>
      <c r="E2" s="71"/>
      <c r="F2" s="73" t="s">
        <v>66</v>
      </c>
      <c r="G2" s="73" t="s">
        <v>64</v>
      </c>
      <c r="H2" s="72" t="s">
        <v>65</v>
      </c>
      <c r="I2" s="80" t="s">
        <v>67</v>
      </c>
    </row>
    <row r="3" spans="1:9" x14ac:dyDescent="0.25">
      <c r="A3" s="82" t="s">
        <v>18</v>
      </c>
      <c r="B3" s="83" t="s">
        <v>60</v>
      </c>
      <c r="C3" s="84" t="s">
        <v>54</v>
      </c>
      <c r="D3" s="83" t="s">
        <v>55</v>
      </c>
      <c r="E3" s="83" t="s">
        <v>56</v>
      </c>
      <c r="F3" s="84" t="s">
        <v>53</v>
      </c>
      <c r="G3" s="76" t="s">
        <v>59</v>
      </c>
      <c r="H3" s="75" t="s">
        <v>61</v>
      </c>
      <c r="I3" s="81" t="s">
        <v>68</v>
      </c>
    </row>
    <row r="4" spans="1:9" x14ac:dyDescent="0.25">
      <c r="A4" s="60" t="s">
        <v>22</v>
      </c>
      <c r="B4" s="2">
        <v>26</v>
      </c>
      <c r="C4" s="62">
        <v>3.1669099315517703E-4</v>
      </c>
      <c r="D4" s="23">
        <v>4.9537037037037041E-3</v>
      </c>
      <c r="E4" s="23">
        <v>3.7268518518518519E-3</v>
      </c>
      <c r="F4" s="61">
        <v>3.9899394586894584E-3</v>
      </c>
      <c r="G4" s="64" cm="1">
        <f t="array" ref="G4">MEDIAN(_xlfn._xlws.FILTER(PSN!I:I, PSN!F:F=A4))</f>
        <v>3.8773148148148148E-3</v>
      </c>
      <c r="H4" s="68">
        <f>GETPIVOTDATA("Pace Consistency (s)",$A$4,"Month",A4)/GETPIVOTDATA("Average pace (min/km)",$A$4,"Month",A4)</f>
        <v>7.9372380567197337E-2</v>
      </c>
      <c r="I4" s="77">
        <f>GETPIVOTDATA("Slowest pace",$A$3,"Month",A4)-GETPIVOTDATA("Fastest pace",$A$3,"Month",A4)</f>
        <v>1.2268518518518522E-3</v>
      </c>
    </row>
    <row r="5" spans="1:9" x14ac:dyDescent="0.25">
      <c r="A5" s="60" t="s">
        <v>23</v>
      </c>
      <c r="B5" s="2">
        <v>27</v>
      </c>
      <c r="C5" s="62">
        <v>2.0031457730996073E-4</v>
      </c>
      <c r="D5" s="23">
        <v>4.4560185185185189E-3</v>
      </c>
      <c r="E5" s="23">
        <v>3.7384259259259259E-3</v>
      </c>
      <c r="F5" s="61">
        <v>4.108796296296297E-3</v>
      </c>
      <c r="G5" s="64" cm="1">
        <f t="array" ref="G5">MEDIAN(_xlfn._xlws.FILTER(PSN!I:I, PSN!F:F=A5))</f>
        <v>4.0625000000000001E-3</v>
      </c>
      <c r="H5" s="68">
        <f t="shared" ref="H5:H8" si="0">GETPIVOTDATA("Pace Consistency (s)",$A$4,"Month",A5)/GETPIVOTDATA("Average pace (min/km)",$A$4,"Month",A5)</f>
        <v>4.875261825233973E-2</v>
      </c>
      <c r="I5" s="77">
        <f t="shared" ref="I5:I9" si="1">GETPIVOTDATA("Slowest pace",$A$3,"Month",A5)-GETPIVOTDATA("Fastest pace",$A$3,"Month",A5)</f>
        <v>7.1759259259259302E-4</v>
      </c>
    </row>
    <row r="6" spans="1:9" x14ac:dyDescent="0.25">
      <c r="A6" s="60" t="s">
        <v>24</v>
      </c>
      <c r="B6" s="2">
        <v>22</v>
      </c>
      <c r="C6" s="62">
        <v>1.2243284474460441E-4</v>
      </c>
      <c r="D6" s="23">
        <v>4.0972222222222226E-3</v>
      </c>
      <c r="E6" s="23">
        <v>3.6342592592592594E-3</v>
      </c>
      <c r="F6" s="61">
        <v>3.8399621212121204E-3</v>
      </c>
      <c r="G6" s="64" cm="1">
        <f t="array" ref="G6">MEDIAN(_xlfn._xlws.FILTER(PSN!I:I, PSN!F:F=A6))</f>
        <v>3.8194444444444443E-3</v>
      </c>
      <c r="H6" s="68">
        <f t="shared" si="0"/>
        <v>3.1883867829914252E-2</v>
      </c>
      <c r="I6" s="77">
        <f t="shared" si="1"/>
        <v>4.629629629629632E-4</v>
      </c>
    </row>
    <row r="7" spans="1:9" x14ac:dyDescent="0.25">
      <c r="A7" s="60" t="s">
        <v>25</v>
      </c>
      <c r="B7" s="2">
        <v>12</v>
      </c>
      <c r="C7" s="62">
        <v>1.8214338138067973E-4</v>
      </c>
      <c r="D7" s="23">
        <v>4.1898148148148146E-3</v>
      </c>
      <c r="E7" s="23">
        <v>3.414351851851852E-3</v>
      </c>
      <c r="F7" s="61">
        <v>3.747106481481481E-3</v>
      </c>
      <c r="G7" s="64" cm="1">
        <f t="array" ref="G7">MEDIAN(_xlfn._xlws.FILTER(PSN!I:I, PSN!F:F=A7))</f>
        <v>3.7500000000000003E-3</v>
      </c>
      <c r="H7" s="68">
        <f t="shared" si="0"/>
        <v>4.8609075370782177E-2</v>
      </c>
      <c r="I7" s="77">
        <f t="shared" si="1"/>
        <v>7.7546296296296261E-4</v>
      </c>
    </row>
    <row r="8" spans="1:9" x14ac:dyDescent="0.25">
      <c r="A8" s="60" t="s">
        <v>29</v>
      </c>
      <c r="B8" s="2">
        <v>19</v>
      </c>
      <c r="C8" s="62">
        <v>2.3513636456729196E-4</v>
      </c>
      <c r="D8" s="23">
        <v>4.3750000000000004E-3</v>
      </c>
      <c r="E8" s="23">
        <v>3.3912037037037036E-3</v>
      </c>
      <c r="F8" s="61">
        <v>3.8401559454191033E-3</v>
      </c>
      <c r="G8" s="64" cm="1">
        <f t="array" ref="G8">MEDIAN(_xlfn._xlws.FILTER(PSN!I:I, PSN!F:F=A8))</f>
        <v>3.7731481481481483E-3</v>
      </c>
      <c r="H8" s="68">
        <f t="shared" si="0"/>
        <v>6.1230941636051153E-2</v>
      </c>
      <c r="I8" s="77">
        <f t="shared" si="1"/>
        <v>9.8379629629629685E-4</v>
      </c>
    </row>
    <row r="9" spans="1:9" x14ac:dyDescent="0.25">
      <c r="A9" s="60" t="s">
        <v>30</v>
      </c>
      <c r="B9" s="2">
        <v>11</v>
      </c>
      <c r="C9" s="62">
        <v>1.9945176957431601E-4</v>
      </c>
      <c r="D9" s="23">
        <v>4.0972222222222226E-3</v>
      </c>
      <c r="E9" s="23">
        <v>3.425925925925926E-3</v>
      </c>
      <c r="F9" s="61">
        <v>3.6595117845117857E-3</v>
      </c>
      <c r="G9" s="65" cm="1">
        <f t="array" ref="G9">MEDIAN(_xlfn._xlws.FILTER(PSN!I:I, PSN!F:F=A9))</f>
        <v>3.6111111111111114E-3</v>
      </c>
      <c r="H9" s="69">
        <f>GETPIVOTDATA("Pace Consistency (s)",$A$4,"Month",A9)/GETPIVOTDATA("Average pace (min/km)",$A$4,"Month",A9)</f>
        <v>5.4502289190175357E-2</v>
      </c>
      <c r="I9" s="79">
        <f t="shared" si="1"/>
        <v>6.7129629629629657E-4</v>
      </c>
    </row>
    <row r="10" spans="1:9" x14ac:dyDescent="0.25">
      <c r="A10" s="60" t="s">
        <v>57</v>
      </c>
      <c r="B10" s="2">
        <v>117</v>
      </c>
      <c r="C10" s="62">
        <v>2.6368708785126719E-4</v>
      </c>
      <c r="D10" s="23">
        <v>4.9537037037037041E-3</v>
      </c>
      <c r="E10" s="23">
        <v>3.3912037037037036E-3</v>
      </c>
      <c r="F10" s="61">
        <v>3.9088714783159237E-3</v>
      </c>
      <c r="G10" s="63">
        <f>MEDIAN(PSN!I:I)</f>
        <v>3.8541666666666663E-3</v>
      </c>
      <c r="H10" s="67">
        <f>GETPIVOTDATA("Pace Consistency (s)",$A$4)/GETPIVOTDATA("Average pace (min/km)",$A$4)</f>
        <v>6.7458623112590196E-2</v>
      </c>
      <c r="I10" s="78">
        <f>GETPIVOTDATA("Slowest pace",$A$3)-GETPIVOTDATA("Fastest pace",$A$3)</f>
        <v>1.5625000000000005E-3</v>
      </c>
    </row>
    <row r="15" spans="1:9" x14ac:dyDescent="0.25">
      <c r="F15" s="6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D96F-8813-4558-9F72-AC3F707F4DE1}">
  <dimension ref="A1:N118"/>
  <sheetViews>
    <sheetView workbookViewId="0">
      <pane ySplit="1" topLeftCell="A97" activePane="bottomLeft" state="frozen"/>
      <selection pane="bottomLeft" activeCell="H121" sqref="H121"/>
    </sheetView>
  </sheetViews>
  <sheetFormatPr defaultRowHeight="15" x14ac:dyDescent="0.25"/>
  <cols>
    <col min="1" max="1" width="9.140625" style="1"/>
    <col min="2" max="2" width="10.7109375" style="6" bestFit="1" customWidth="1"/>
    <col min="3" max="3" width="16.5703125" style="1" bestFit="1" customWidth="1"/>
    <col min="4" max="4" width="8.5703125" style="1" bestFit="1" customWidth="1"/>
    <col min="5" max="5" width="9.28515625" style="1" bestFit="1" customWidth="1"/>
    <col min="6" max="6" width="12.28515625" style="1" bestFit="1" customWidth="1"/>
    <col min="7" max="7" width="22.7109375" style="47" bestFit="1" customWidth="1"/>
    <col min="8" max="8" width="27.140625" style="47" bestFit="1" customWidth="1"/>
    <col min="9" max="9" width="13.5703125" style="1" bestFit="1" customWidth="1"/>
    <col min="10" max="10" width="18" style="1" bestFit="1" customWidth="1"/>
    <col min="11" max="12" width="14.7109375" style="23" bestFit="1" customWidth="1"/>
    <col min="13" max="13" width="23.28515625" style="1" bestFit="1" customWidth="1"/>
    <col min="14" max="16384" width="9.140625" style="1"/>
  </cols>
  <sheetData>
    <row r="1" spans="1:14" ht="15.75" x14ac:dyDescent="0.25">
      <c r="A1" s="37" t="s">
        <v>11</v>
      </c>
      <c r="B1" s="38" t="s">
        <v>12</v>
      </c>
      <c r="C1" s="24" t="s">
        <v>37</v>
      </c>
      <c r="D1" s="24" t="s">
        <v>4</v>
      </c>
      <c r="E1" s="24" t="s">
        <v>0</v>
      </c>
      <c r="F1" s="24" t="s">
        <v>18</v>
      </c>
      <c r="G1" s="49" t="s">
        <v>38</v>
      </c>
      <c r="H1" s="49" t="s">
        <v>42</v>
      </c>
      <c r="I1" s="25" t="s">
        <v>43</v>
      </c>
      <c r="J1" s="39" t="s">
        <v>44</v>
      </c>
      <c r="K1" s="40" t="s">
        <v>45</v>
      </c>
      <c r="L1" s="40" t="s">
        <v>50</v>
      </c>
      <c r="M1" s="39" t="s">
        <v>58</v>
      </c>
      <c r="N1" s="39" t="s">
        <v>52</v>
      </c>
    </row>
    <row r="2" spans="1:14" x14ac:dyDescent="0.25">
      <c r="A2" s="33">
        <v>1</v>
      </c>
      <c r="B2" s="35">
        <v>45964</v>
      </c>
      <c r="C2" s="26">
        <v>615</v>
      </c>
      <c r="D2" s="27">
        <f t="shared" ref="D2:D21" si="0">VALUE(RIGHT(C2, 2))</f>
        <v>15</v>
      </c>
      <c r="E2" s="27">
        <f t="shared" ref="E2:E65" si="1">VALUE(LEFT(C2,1))</f>
        <v>6</v>
      </c>
      <c r="F2" s="27" t="str">
        <f t="shared" ref="F2:F65" si="2">IF(COUNTA(B2)=1,TEXT(B2, "mmmm"), "")</f>
        <v>November</v>
      </c>
      <c r="G2" s="50">
        <f>IF(COUNTA(C2)=1,(PSN!$E2+(PSN!$D2/60))/1440, "")</f>
        <v>4.340277777777778E-3</v>
      </c>
      <c r="H2" s="51">
        <f>IF(COUNTA(C2)=1,AVERAGE($G$2:G3), "")</f>
        <v>4.2013888888888891E-3</v>
      </c>
      <c r="I2" s="28">
        <f>IF(COUNTA(C2)=1,((PSN!$E2)+(PSN!$D2/60))/1440, "")</f>
        <v>4.340277777777778E-3</v>
      </c>
      <c r="J2" s="23">
        <f>AVERAGE($I$2:I2)</f>
        <v>4.340277777777778E-3</v>
      </c>
      <c r="K2" s="23">
        <f t="shared" ref="K2:K33" si="3">_xlfn.MINIFS(I:I,B:B,"&gt;="&amp;EOMONTH(B2,-1)+1,B:B,"&lt;="&amp;EOMONTH(B2,0))</f>
        <v>3.7268518518518514E-3</v>
      </c>
      <c r="L2" s="23">
        <f t="shared" ref="L2:L33" si="4">_xlfn.MAXIFS(I:I,B:B,"&gt;="&amp;EOMONTH(B2,-1)+1,B:B,"&lt;="&amp;EOMONTH(B2,0))</f>
        <v>4.9537037037037041E-3</v>
      </c>
      <c r="M2" s="48">
        <f>MEDIAN(I2:I27)</f>
        <v>3.8773148148148148E-3</v>
      </c>
      <c r="N2" s="48"/>
    </row>
    <row r="3" spans="1:14" x14ac:dyDescent="0.25">
      <c r="A3" s="30">
        <v>2</v>
      </c>
      <c r="B3" s="36">
        <v>45967</v>
      </c>
      <c r="C3" s="29">
        <v>551</v>
      </c>
      <c r="D3" s="30">
        <f t="shared" si="0"/>
        <v>51</v>
      </c>
      <c r="E3" s="30">
        <f t="shared" si="1"/>
        <v>5</v>
      </c>
      <c r="F3" s="30" t="str">
        <f t="shared" si="2"/>
        <v>November</v>
      </c>
      <c r="G3" s="52">
        <f>IF(COUNTA(C3)=1,(PSN!$E3+(PSN!$D3/60))/1440, "")</f>
        <v>4.0625000000000001E-3</v>
      </c>
      <c r="H3" s="52">
        <f>IF(COUNTA(C3)=1,AVERAGE($G$2:G4), "")</f>
        <v>4.1589506172839512E-3</v>
      </c>
      <c r="I3" s="31">
        <f>IF(COUNTA(C3)=1,((PSN!$E3)+(PSN!$D3/60))/1440, "")</f>
        <v>4.0625000000000001E-3</v>
      </c>
      <c r="J3" s="23">
        <f>AVERAGE($I$2:I3)</f>
        <v>4.2013888888888891E-3</v>
      </c>
      <c r="K3" s="23">
        <f t="shared" si="3"/>
        <v>3.7268518518518514E-3</v>
      </c>
      <c r="L3" s="23">
        <f t="shared" si="4"/>
        <v>4.9537037037037041E-3</v>
      </c>
      <c r="M3" s="48">
        <f>MEDIAN(I28:I54)</f>
        <v>4.0625000000000001E-3</v>
      </c>
      <c r="N3" s="59"/>
    </row>
    <row r="4" spans="1:14" x14ac:dyDescent="0.25">
      <c r="A4" s="33">
        <v>3</v>
      </c>
      <c r="B4" s="35">
        <v>45968</v>
      </c>
      <c r="C4" s="32">
        <v>552</v>
      </c>
      <c r="D4" s="33">
        <f t="shared" si="0"/>
        <v>52</v>
      </c>
      <c r="E4" s="33">
        <f t="shared" si="1"/>
        <v>5</v>
      </c>
      <c r="F4" s="33" t="str">
        <f t="shared" si="2"/>
        <v>November</v>
      </c>
      <c r="G4" s="53">
        <f>IF(COUNTA(C4)=1,(PSN!$E4+(PSN!$D4/60))/1440, "")</f>
        <v>4.0740740740740746E-3</v>
      </c>
      <c r="H4" s="53">
        <f>IF(COUNTA(C4)=1,AVERAGE($G$2:G5), "")</f>
        <v>4.0885416666666674E-3</v>
      </c>
      <c r="I4" s="34">
        <f>IF(COUNTA(C4)=1,((PSN!$E4)+(PSN!$D4/60))/1440, "")</f>
        <v>4.0740740740740746E-3</v>
      </c>
      <c r="J4" s="23">
        <f>AVERAGE($I$2:I4)</f>
        <v>4.1589506172839512E-3</v>
      </c>
      <c r="K4" s="23">
        <f t="shared" si="3"/>
        <v>3.7268518518518514E-3</v>
      </c>
      <c r="L4" s="23">
        <f t="shared" si="4"/>
        <v>4.9537037037037041E-3</v>
      </c>
      <c r="M4" s="48">
        <f>MEDIAN(I55:I76)</f>
        <v>3.8194444444444443E-3</v>
      </c>
      <c r="N4" s="59"/>
    </row>
    <row r="5" spans="1:14" x14ac:dyDescent="0.25">
      <c r="A5" s="30">
        <v>4</v>
      </c>
      <c r="B5" s="36">
        <v>45969</v>
      </c>
      <c r="C5" s="29">
        <v>535</v>
      </c>
      <c r="D5" s="30">
        <f t="shared" si="0"/>
        <v>35</v>
      </c>
      <c r="E5" s="30">
        <f t="shared" si="1"/>
        <v>5</v>
      </c>
      <c r="F5" s="30" t="str">
        <f t="shared" si="2"/>
        <v>November</v>
      </c>
      <c r="G5" s="52">
        <f>IF(COUNTA(C5)=1,(PSN!$E5+(PSN!$D5/60))/1440, "")</f>
        <v>3.8773148148148148E-3</v>
      </c>
      <c r="H5" s="52">
        <f>IF(COUNTA(C5)=1,AVERAGE($G$2:G6), "")</f>
        <v>4.0578703703703714E-3</v>
      </c>
      <c r="I5" s="31">
        <f>IF(COUNTA(C5)=1,((PSN!$E5)+(PSN!$D5/60))/1440, "")</f>
        <v>3.8773148148148148E-3</v>
      </c>
      <c r="J5" s="23">
        <f>AVERAGE($I$2:I5)</f>
        <v>4.0885416666666674E-3</v>
      </c>
      <c r="K5" s="23">
        <f t="shared" si="3"/>
        <v>3.7268518518518514E-3</v>
      </c>
      <c r="L5" s="23">
        <f t="shared" si="4"/>
        <v>4.9537037037037041E-3</v>
      </c>
      <c r="M5" s="48">
        <f>MEDIAN(I77:I88)</f>
        <v>3.7500000000000003E-3</v>
      </c>
      <c r="N5" s="59"/>
    </row>
    <row r="6" spans="1:14" x14ac:dyDescent="0.25">
      <c r="A6" s="33">
        <v>5</v>
      </c>
      <c r="B6" s="35">
        <v>45970</v>
      </c>
      <c r="C6" s="32">
        <v>540</v>
      </c>
      <c r="D6" s="33">
        <f t="shared" si="0"/>
        <v>40</v>
      </c>
      <c r="E6" s="33">
        <f t="shared" si="1"/>
        <v>5</v>
      </c>
      <c r="F6" s="33" t="str">
        <f t="shared" si="2"/>
        <v>November</v>
      </c>
      <c r="G6" s="53">
        <f>IF(COUNTA(C6)=1,(PSN!$E6+(PSN!$D6/60))/1440, "")</f>
        <v>3.9351851851851857E-3</v>
      </c>
      <c r="H6" s="53">
        <f>IF(COUNTA(C6)=1,AVERAGE($G$2:G7), "")</f>
        <v>4.0933641975308653E-3</v>
      </c>
      <c r="I6" s="34">
        <f>IF(COUNTA(C6)=1,((PSN!$E6)+(PSN!$D6/60))/1440, "")</f>
        <v>3.9351851851851857E-3</v>
      </c>
      <c r="J6" s="23">
        <f>AVERAGE($I$2:I6)</f>
        <v>4.0578703703703714E-3</v>
      </c>
      <c r="K6" s="23">
        <f t="shared" si="3"/>
        <v>3.7268518518518514E-3</v>
      </c>
      <c r="L6" s="23">
        <f t="shared" si="4"/>
        <v>4.9537037037037041E-3</v>
      </c>
      <c r="M6" s="48">
        <f>MEDIAN(I89:I107)</f>
        <v>3.7731481481481483E-3</v>
      </c>
      <c r="N6" s="59"/>
    </row>
    <row r="7" spans="1:14" x14ac:dyDescent="0.25">
      <c r="A7" s="30">
        <v>6</v>
      </c>
      <c r="B7" s="36">
        <v>45971</v>
      </c>
      <c r="C7" s="29">
        <v>609</v>
      </c>
      <c r="D7" s="30">
        <f t="shared" si="0"/>
        <v>9</v>
      </c>
      <c r="E7" s="30">
        <f t="shared" si="1"/>
        <v>6</v>
      </c>
      <c r="F7" s="30" t="str">
        <f t="shared" si="2"/>
        <v>November</v>
      </c>
      <c r="G7" s="52">
        <f>IF(COUNTA(C7)=1,(PSN!$E7+(PSN!$D7/60))/1440, "")</f>
        <v>4.2708333333333339E-3</v>
      </c>
      <c r="H7" s="52">
        <f>IF(COUNTA(C7)=1,AVERAGE($G$2:G8), "")</f>
        <v>4.062500000000001E-3</v>
      </c>
      <c r="I7" s="31">
        <f>IF(COUNTA(C7)=1,((PSN!$E7)+(PSN!$D7/60))/1440, "")</f>
        <v>4.2708333333333339E-3</v>
      </c>
      <c r="J7" s="23">
        <f>AVERAGE($I$2:I7)</f>
        <v>4.0933641975308653E-3</v>
      </c>
      <c r="K7" s="23">
        <f t="shared" si="3"/>
        <v>3.7268518518518514E-3</v>
      </c>
      <c r="L7" s="23">
        <f t="shared" si="4"/>
        <v>4.9537037037037041E-3</v>
      </c>
      <c r="M7" s="48">
        <f>MEDIAN(I108:I114)</f>
        <v>3.6342592592592594E-3</v>
      </c>
      <c r="N7" s="59"/>
    </row>
    <row r="8" spans="1:14" x14ac:dyDescent="0.25">
      <c r="A8" s="33">
        <v>7</v>
      </c>
      <c r="B8" s="35">
        <v>45972</v>
      </c>
      <c r="C8" s="32">
        <v>535</v>
      </c>
      <c r="D8" s="33">
        <f t="shared" si="0"/>
        <v>35</v>
      </c>
      <c r="E8" s="33">
        <f t="shared" si="1"/>
        <v>5</v>
      </c>
      <c r="F8" s="33" t="str">
        <f t="shared" si="2"/>
        <v>November</v>
      </c>
      <c r="G8" s="53">
        <f>IF(COUNTA(C8)=1,(PSN!$E8+(PSN!$D8/60))/1440, "")</f>
        <v>3.8773148148148148E-3</v>
      </c>
      <c r="H8" s="53">
        <f>IF(COUNTA(C8)=1,AVERAGE($G$2:G9), "")</f>
        <v>4.0277777777777786E-3</v>
      </c>
      <c r="I8" s="34">
        <f>IF(COUNTA(C8)=1,((PSN!$E8)+(PSN!$D8/60))/1440, "")</f>
        <v>3.8773148148148148E-3</v>
      </c>
      <c r="J8" s="23">
        <f>AVERAGE($I$2:I8)</f>
        <v>4.062500000000001E-3</v>
      </c>
      <c r="K8" s="23">
        <f t="shared" si="3"/>
        <v>3.7268518518518514E-3</v>
      </c>
      <c r="L8" s="23">
        <f t="shared" si="4"/>
        <v>4.9537037037037041E-3</v>
      </c>
      <c r="M8" s="59"/>
      <c r="N8" s="59"/>
    </row>
    <row r="9" spans="1:14" x14ac:dyDescent="0.25">
      <c r="A9" s="30">
        <v>8</v>
      </c>
      <c r="B9" s="36">
        <v>45973</v>
      </c>
      <c r="C9" s="29">
        <v>527</v>
      </c>
      <c r="D9" s="30">
        <f t="shared" si="0"/>
        <v>27</v>
      </c>
      <c r="E9" s="30">
        <f t="shared" si="1"/>
        <v>5</v>
      </c>
      <c r="F9" s="30" t="str">
        <f t="shared" si="2"/>
        <v>November</v>
      </c>
      <c r="G9" s="52">
        <f>IF(COUNTA(C9)=1,(PSN!$E9+(PSN!$D9/60))/1440, "")</f>
        <v>3.7847222222222223E-3</v>
      </c>
      <c r="H9" s="52">
        <f>IF(COUNTA(C9)=1,AVERAGE($G$2:G10), "")</f>
        <v>3.9943415637860085E-3</v>
      </c>
      <c r="I9" s="31">
        <f>IF(COUNTA(C9)=1,((PSN!$E9)+(PSN!$D9/60))/1440, "")</f>
        <v>3.7847222222222223E-3</v>
      </c>
      <c r="J9" s="23">
        <f>AVERAGE($I$2:I9)</f>
        <v>4.0277777777777786E-3</v>
      </c>
      <c r="K9" s="23">
        <f t="shared" si="3"/>
        <v>3.7268518518518514E-3</v>
      </c>
      <c r="L9" s="23">
        <f t="shared" si="4"/>
        <v>4.9537037037037041E-3</v>
      </c>
      <c r="M9" s="59"/>
      <c r="N9" s="59"/>
    </row>
    <row r="10" spans="1:14" x14ac:dyDescent="0.25">
      <c r="A10" s="33">
        <v>9</v>
      </c>
      <c r="B10" s="35">
        <v>45974</v>
      </c>
      <c r="C10" s="32">
        <v>522</v>
      </c>
      <c r="D10" s="33">
        <f t="shared" si="0"/>
        <v>22</v>
      </c>
      <c r="E10" s="33">
        <f t="shared" si="1"/>
        <v>5</v>
      </c>
      <c r="F10" s="33" t="str">
        <f t="shared" si="2"/>
        <v>November</v>
      </c>
      <c r="G10" s="53">
        <f>IF(COUNTA(C10)=1,(PSN!$E10+(PSN!$D10/60))/1440, "")</f>
        <v>3.7268518518518514E-3</v>
      </c>
      <c r="H10" s="53">
        <f>IF(COUNTA(C10)=1,AVERAGE($G$2:G11), "")</f>
        <v>3.9733796296296305E-3</v>
      </c>
      <c r="I10" s="34">
        <f>IF(COUNTA(C10)=1,((PSN!$E10)+(PSN!$D10/60))/1440, "")</f>
        <v>3.7268518518518514E-3</v>
      </c>
      <c r="J10" s="23">
        <f>AVERAGE($I$2:I10)</f>
        <v>3.9943415637860085E-3</v>
      </c>
      <c r="K10" s="23">
        <f t="shared" si="3"/>
        <v>3.7268518518518514E-3</v>
      </c>
      <c r="L10" s="23">
        <f t="shared" si="4"/>
        <v>4.9537037037037041E-3</v>
      </c>
      <c r="M10" s="59"/>
      <c r="N10" s="59"/>
    </row>
    <row r="11" spans="1:14" x14ac:dyDescent="0.25">
      <c r="A11" s="30">
        <v>10</v>
      </c>
      <c r="B11" s="36">
        <v>45975</v>
      </c>
      <c r="C11" s="29">
        <v>527</v>
      </c>
      <c r="D11" s="30">
        <f t="shared" si="0"/>
        <v>27</v>
      </c>
      <c r="E11" s="30">
        <f t="shared" si="1"/>
        <v>5</v>
      </c>
      <c r="F11" s="30" t="str">
        <f t="shared" si="2"/>
        <v>November</v>
      </c>
      <c r="G11" s="52">
        <f>IF(COUNTA(C11)=1,(PSN!$E11+(PSN!$D11/60))/1440, "")</f>
        <v>3.7847222222222223E-3</v>
      </c>
      <c r="H11" s="52">
        <f>IF(COUNTA(C11)=1,AVERAGE($G$2:G12), "")</f>
        <v>3.9593855218855228E-3</v>
      </c>
      <c r="I11" s="31">
        <f>IF(COUNTA(C11)=1,((PSN!$E11)+(PSN!$D11/60))/1440, "")</f>
        <v>3.7847222222222223E-3</v>
      </c>
      <c r="J11" s="23">
        <f>AVERAGE($I$2:I11)</f>
        <v>3.9733796296296305E-3</v>
      </c>
      <c r="K11" s="23">
        <f t="shared" si="3"/>
        <v>3.7268518518518514E-3</v>
      </c>
      <c r="L11" s="23">
        <f t="shared" si="4"/>
        <v>4.9537037037037041E-3</v>
      </c>
      <c r="M11" s="59"/>
      <c r="N11" s="59"/>
    </row>
    <row r="12" spans="1:14" x14ac:dyDescent="0.25">
      <c r="A12" s="33">
        <v>11</v>
      </c>
      <c r="B12" s="35">
        <v>45976</v>
      </c>
      <c r="C12" s="32">
        <v>530</v>
      </c>
      <c r="D12" s="33">
        <f t="shared" si="0"/>
        <v>30</v>
      </c>
      <c r="E12" s="33">
        <f t="shared" si="1"/>
        <v>5</v>
      </c>
      <c r="F12" s="33" t="str">
        <f t="shared" si="2"/>
        <v>November</v>
      </c>
      <c r="G12" s="53">
        <f>IF(COUNTA(C12)=1,(PSN!$E12+(PSN!$D12/60))/1440, "")</f>
        <v>3.8194444444444443E-3</v>
      </c>
      <c r="H12" s="53">
        <f>IF(COUNTA(C12)=1,AVERAGE($G$2:G13), "")</f>
        <v>4.0422453703703705E-3</v>
      </c>
      <c r="I12" s="34">
        <f>IF(COUNTA(C12)=1,((PSN!$E12)+(PSN!$D12/60))/1440, "")</f>
        <v>3.8194444444444443E-3</v>
      </c>
      <c r="J12" s="23">
        <f>AVERAGE($I$2:I12)</f>
        <v>3.9593855218855228E-3</v>
      </c>
      <c r="K12" s="23">
        <f t="shared" si="3"/>
        <v>3.7268518518518514E-3</v>
      </c>
      <c r="L12" s="23">
        <f t="shared" si="4"/>
        <v>4.9537037037037041E-3</v>
      </c>
      <c r="M12" s="59"/>
      <c r="N12" s="59"/>
    </row>
    <row r="13" spans="1:14" x14ac:dyDescent="0.25">
      <c r="A13" s="30">
        <v>12</v>
      </c>
      <c r="B13" s="36">
        <v>45977</v>
      </c>
      <c r="C13" s="29">
        <v>708</v>
      </c>
      <c r="D13" s="30">
        <f t="shared" si="0"/>
        <v>8</v>
      </c>
      <c r="E13" s="30">
        <f t="shared" si="1"/>
        <v>7</v>
      </c>
      <c r="F13" s="30" t="str">
        <f t="shared" si="2"/>
        <v>November</v>
      </c>
      <c r="G13" s="52">
        <f>IF(COUNTA(C13)=1,(PSN!$E13+(PSN!$D13/60))/1440, "")</f>
        <v>4.9537037037037041E-3</v>
      </c>
      <c r="H13" s="52">
        <f>IF(COUNTA(C13)=1,AVERAGE($G$2:G14), "")</f>
        <v>4.0224358974358977E-3</v>
      </c>
      <c r="I13" s="31">
        <f>IF(COUNTA(C13)=1,((PSN!$E13)+(PSN!$D13/60))/1440, "")</f>
        <v>4.9537037037037041E-3</v>
      </c>
      <c r="J13" s="23">
        <f>AVERAGE($I$2:I13)</f>
        <v>4.0422453703703705E-3</v>
      </c>
      <c r="K13" s="23">
        <f t="shared" si="3"/>
        <v>3.7268518518518514E-3</v>
      </c>
      <c r="L13" s="23">
        <f t="shared" si="4"/>
        <v>4.9537037037037041E-3</v>
      </c>
      <c r="M13" s="59"/>
      <c r="N13" s="59"/>
    </row>
    <row r="14" spans="1:14" x14ac:dyDescent="0.25">
      <c r="A14" s="33">
        <v>13</v>
      </c>
      <c r="B14" s="35">
        <v>45978</v>
      </c>
      <c r="C14" s="32">
        <v>527</v>
      </c>
      <c r="D14" s="33">
        <f t="shared" si="0"/>
        <v>27</v>
      </c>
      <c r="E14" s="33">
        <f t="shared" si="1"/>
        <v>5</v>
      </c>
      <c r="F14" s="33" t="str">
        <f t="shared" si="2"/>
        <v>November</v>
      </c>
      <c r="G14" s="53">
        <f>IF(COUNTA(C14)=1,(PSN!$E14+(PSN!$D14/60))/1440, "")</f>
        <v>3.7847222222222223E-3</v>
      </c>
      <c r="H14" s="53">
        <f>IF(COUNTA(C14)=1,AVERAGE($G$2:G15), "")</f>
        <v>4.0013227513227513E-3</v>
      </c>
      <c r="I14" s="34">
        <f>IF(COUNTA(C14)=1,((PSN!$E14)+(PSN!$D14/60))/1440, "")</f>
        <v>3.7847222222222223E-3</v>
      </c>
      <c r="J14" s="23">
        <f>AVERAGE($I$2:I14)</f>
        <v>4.0224358974358977E-3</v>
      </c>
      <c r="K14" s="23">
        <f t="shared" si="3"/>
        <v>3.7268518518518514E-3</v>
      </c>
      <c r="L14" s="23">
        <f t="shared" si="4"/>
        <v>4.9537037037037041E-3</v>
      </c>
      <c r="M14" s="59"/>
      <c r="N14" s="59"/>
    </row>
    <row r="15" spans="1:14" x14ac:dyDescent="0.25">
      <c r="A15" s="30">
        <v>14</v>
      </c>
      <c r="B15" s="36">
        <v>45979</v>
      </c>
      <c r="C15" s="29">
        <v>522</v>
      </c>
      <c r="D15" s="30">
        <f t="shared" si="0"/>
        <v>22</v>
      </c>
      <c r="E15" s="30">
        <f t="shared" si="1"/>
        <v>5</v>
      </c>
      <c r="F15" s="30" t="str">
        <f t="shared" si="2"/>
        <v>November</v>
      </c>
      <c r="G15" s="52">
        <f>IF(COUNTA(C15)=1,(PSN!$E15+(PSN!$D15/60))/1440, "")</f>
        <v>3.7268518518518514E-3</v>
      </c>
      <c r="H15" s="52">
        <f>IF(COUNTA(C15)=1,AVERAGE($G$2:G16), "")</f>
        <v>3.9907407407407409E-3</v>
      </c>
      <c r="I15" s="31">
        <f>IF(COUNTA(C15)=1,((PSN!$E15)+(PSN!$D15/60))/1440, "")</f>
        <v>3.7268518518518514E-3</v>
      </c>
      <c r="J15" s="23">
        <f>AVERAGE($I$2:I15)</f>
        <v>4.0013227513227513E-3</v>
      </c>
      <c r="K15" s="23">
        <f t="shared" si="3"/>
        <v>3.7268518518518514E-3</v>
      </c>
      <c r="L15" s="23">
        <f t="shared" si="4"/>
        <v>4.9537037037037041E-3</v>
      </c>
      <c r="M15" s="59"/>
      <c r="N15" s="59"/>
    </row>
    <row r="16" spans="1:14" x14ac:dyDescent="0.25">
      <c r="A16" s="33">
        <v>15</v>
      </c>
      <c r="B16" s="35">
        <v>45980</v>
      </c>
      <c r="C16" s="32">
        <v>532</v>
      </c>
      <c r="D16" s="33">
        <f t="shared" si="0"/>
        <v>32</v>
      </c>
      <c r="E16" s="33">
        <f t="shared" si="1"/>
        <v>5</v>
      </c>
      <c r="F16" s="33" t="str">
        <f t="shared" si="2"/>
        <v>November</v>
      </c>
      <c r="G16" s="53">
        <f>IF(COUNTA(C16)=1,(PSN!$E16+(PSN!$D16/60))/1440, "")</f>
        <v>3.8425925925925923E-3</v>
      </c>
      <c r="H16" s="53">
        <f>IF(COUNTA(C16)=1,AVERAGE($G$2:G17), "")</f>
        <v>4.0480324074074073E-3</v>
      </c>
      <c r="I16" s="34">
        <f>IF(COUNTA(C16)=1,((PSN!$E16)+(PSN!$D16/60))/1440, "")</f>
        <v>3.8425925925925923E-3</v>
      </c>
      <c r="J16" s="23">
        <f>AVERAGE($I$2:I16)</f>
        <v>3.9907407407407409E-3</v>
      </c>
      <c r="K16" s="23">
        <f t="shared" si="3"/>
        <v>3.7268518518518514E-3</v>
      </c>
      <c r="L16" s="23">
        <f t="shared" si="4"/>
        <v>4.9537037037037041E-3</v>
      </c>
      <c r="M16" s="59"/>
      <c r="N16" s="59"/>
    </row>
    <row r="17" spans="1:14" x14ac:dyDescent="0.25">
      <c r="A17" s="30">
        <v>16</v>
      </c>
      <c r="B17" s="36">
        <v>45981</v>
      </c>
      <c r="C17" s="29">
        <v>704</v>
      </c>
      <c r="D17" s="30">
        <f t="shared" si="0"/>
        <v>4</v>
      </c>
      <c r="E17" s="30">
        <f t="shared" si="1"/>
        <v>7</v>
      </c>
      <c r="F17" s="30" t="str">
        <f t="shared" si="2"/>
        <v>November</v>
      </c>
      <c r="G17" s="52">
        <f>IF(COUNTA(C17)=1,(PSN!$E17+(PSN!$D17/60))/1440, "")</f>
        <v>4.9074074074074072E-3</v>
      </c>
      <c r="H17" s="52">
        <f>IF(COUNTA(C17)=1,AVERAGE($G$2:G18), "")</f>
        <v>4.0379901960784313E-3</v>
      </c>
      <c r="I17" s="31">
        <f>IF(COUNTA(C17)=1,((PSN!$E17)+(PSN!$D17/60))/1440, "")</f>
        <v>4.9074074074074072E-3</v>
      </c>
      <c r="J17" s="23">
        <f>AVERAGE($I$2:I17)</f>
        <v>4.0480324074074073E-3</v>
      </c>
      <c r="K17" s="23">
        <f t="shared" si="3"/>
        <v>3.7268518518518514E-3</v>
      </c>
      <c r="L17" s="23">
        <f t="shared" si="4"/>
        <v>4.9537037037037041E-3</v>
      </c>
      <c r="M17" s="59"/>
      <c r="N17" s="59"/>
    </row>
    <row r="18" spans="1:14" x14ac:dyDescent="0.25">
      <c r="A18" s="33">
        <v>17</v>
      </c>
      <c r="B18" s="35">
        <v>45982</v>
      </c>
      <c r="C18" s="32">
        <v>535</v>
      </c>
      <c r="D18" s="33">
        <f t="shared" si="0"/>
        <v>35</v>
      </c>
      <c r="E18" s="33">
        <f t="shared" si="1"/>
        <v>5</v>
      </c>
      <c r="F18" s="33" t="str">
        <f t="shared" si="2"/>
        <v>November</v>
      </c>
      <c r="G18" s="53">
        <f>IF(COUNTA(C18)=1,(PSN!$E18+(PSN!$D18/60))/1440, "")</f>
        <v>3.8773148148148148E-3</v>
      </c>
      <c r="H18" s="53">
        <f>IF(COUNTA(C18)=1,AVERAGE($G$2:G19), "")</f>
        <v>4.0380658436213988E-3</v>
      </c>
      <c r="I18" s="34">
        <f>IF(COUNTA(C18)=1,((PSN!$E18)+(PSN!$D18/60))/1440, "")</f>
        <v>3.8773148148148148E-3</v>
      </c>
      <c r="J18" s="23">
        <f>AVERAGE($I$2:I18)</f>
        <v>4.0379901960784313E-3</v>
      </c>
      <c r="K18" s="23">
        <f t="shared" si="3"/>
        <v>3.7268518518518514E-3</v>
      </c>
      <c r="L18" s="23">
        <f t="shared" si="4"/>
        <v>4.9537037037037041E-3</v>
      </c>
      <c r="M18" s="59"/>
      <c r="N18" s="59"/>
    </row>
    <row r="19" spans="1:14" x14ac:dyDescent="0.25">
      <c r="A19" s="30">
        <v>18</v>
      </c>
      <c r="B19" s="36">
        <v>45983</v>
      </c>
      <c r="C19" s="29">
        <v>549</v>
      </c>
      <c r="D19" s="30">
        <f t="shared" si="0"/>
        <v>49</v>
      </c>
      <c r="E19" s="30">
        <f t="shared" si="1"/>
        <v>5</v>
      </c>
      <c r="F19" s="30" t="str">
        <f t="shared" si="2"/>
        <v>November</v>
      </c>
      <c r="G19" s="52">
        <f>IF(COUNTA(C19)=1,(PSN!$E19+(PSN!$D19/60))/1440, "")</f>
        <v>4.0393518518518513E-3</v>
      </c>
      <c r="H19" s="52">
        <f>IF(COUNTA(C19)=1,AVERAGE($G$2:G20), "")</f>
        <v>4.0253411306042887E-3</v>
      </c>
      <c r="I19" s="31">
        <f>IF(COUNTA(C19)=1,((PSN!$E19)+(PSN!$D19/60))/1440, "")</f>
        <v>4.0393518518518513E-3</v>
      </c>
      <c r="J19" s="23">
        <f>AVERAGE($I$2:I19)</f>
        <v>4.0380658436213988E-3</v>
      </c>
      <c r="K19" s="23">
        <f t="shared" si="3"/>
        <v>3.7268518518518514E-3</v>
      </c>
      <c r="L19" s="23">
        <f t="shared" si="4"/>
        <v>4.9537037037037041E-3</v>
      </c>
      <c r="M19" s="59"/>
      <c r="N19" s="59"/>
    </row>
    <row r="20" spans="1:14" x14ac:dyDescent="0.25">
      <c r="A20" s="33">
        <v>19</v>
      </c>
      <c r="B20" s="35">
        <v>45984</v>
      </c>
      <c r="C20" s="32">
        <v>528</v>
      </c>
      <c r="D20" s="33">
        <f t="shared" si="0"/>
        <v>28</v>
      </c>
      <c r="E20" s="33">
        <f t="shared" si="1"/>
        <v>5</v>
      </c>
      <c r="F20" s="33" t="str">
        <f t="shared" si="2"/>
        <v>November</v>
      </c>
      <c r="G20" s="53">
        <f>IF(COUNTA(C20)=1,(PSN!$E20+(PSN!$D20/60))/1440, "")</f>
        <v>3.7962962962962963E-3</v>
      </c>
      <c r="H20" s="53">
        <f>IF(COUNTA(C20)=1,AVERAGE($G$2:G21), "")</f>
        <v>4.0219907407407409E-3</v>
      </c>
      <c r="I20" s="34">
        <f>IF(COUNTA(C20)=1,((PSN!$E20)+(PSN!$D20/60))/1440, "")</f>
        <v>3.7962962962962963E-3</v>
      </c>
      <c r="J20" s="23">
        <f>AVERAGE($I$2:I20)</f>
        <v>4.0253411306042887E-3</v>
      </c>
      <c r="K20" s="23">
        <f t="shared" si="3"/>
        <v>3.7268518518518514E-3</v>
      </c>
      <c r="L20" s="23">
        <f t="shared" si="4"/>
        <v>4.9537037037037041E-3</v>
      </c>
      <c r="M20" s="59"/>
      <c r="N20" s="59"/>
    </row>
    <row r="21" spans="1:14" x14ac:dyDescent="0.25">
      <c r="A21" s="30">
        <v>20</v>
      </c>
      <c r="B21" s="36">
        <v>45985</v>
      </c>
      <c r="C21" s="29">
        <v>542</v>
      </c>
      <c r="D21" s="30">
        <f t="shared" si="0"/>
        <v>42</v>
      </c>
      <c r="E21" s="30">
        <f t="shared" si="1"/>
        <v>5</v>
      </c>
      <c r="F21" s="30" t="str">
        <f t="shared" si="2"/>
        <v>November</v>
      </c>
      <c r="G21" s="52">
        <f>IF(COUNTA(C21)=1,(PSN!$E21+(PSN!$D21/60))/1440, "")</f>
        <v>3.9583333333333337E-3</v>
      </c>
      <c r="H21" s="52">
        <f>IF(COUNTA(C21)=1,AVERAGE($G$2:G22), "")</f>
        <v>4.0139991181657852E-3</v>
      </c>
      <c r="I21" s="31">
        <f>IF(COUNTA(C21)=1,((PSN!$E21)+(PSN!$D21/60))/1440, "")</f>
        <v>3.9583333333333337E-3</v>
      </c>
      <c r="J21" s="23">
        <f>AVERAGE($I$2:I21)</f>
        <v>4.0219907407407409E-3</v>
      </c>
      <c r="K21" s="23">
        <f t="shared" si="3"/>
        <v>3.7268518518518514E-3</v>
      </c>
      <c r="L21" s="23">
        <f t="shared" si="4"/>
        <v>4.9537037037037041E-3</v>
      </c>
      <c r="M21" s="59"/>
      <c r="N21" s="59"/>
    </row>
    <row r="22" spans="1:14" x14ac:dyDescent="0.25">
      <c r="A22" s="33">
        <v>21</v>
      </c>
      <c r="B22" s="35">
        <v>45986</v>
      </c>
      <c r="C22" s="32">
        <v>533</v>
      </c>
      <c r="D22" s="33">
        <f>VALUE(RIGHT(C22, 2))</f>
        <v>33</v>
      </c>
      <c r="E22" s="33">
        <f t="shared" si="1"/>
        <v>5</v>
      </c>
      <c r="F22" s="33" t="str">
        <f t="shared" si="2"/>
        <v>November</v>
      </c>
      <c r="G22" s="53">
        <f>IF(COUNTA(C22)=1,(PSN!$E22+(PSN!$D22/60))/1440, "")</f>
        <v>3.8541666666666663E-3</v>
      </c>
      <c r="H22" s="53">
        <f>IF(COUNTA(C22)=1,AVERAGE($G$2:G23), "")</f>
        <v>4.0009469696969703E-3</v>
      </c>
      <c r="I22" s="34">
        <f>IF(COUNTA(C22)=1,((PSN!$E22)+(PSN!$D22/60))/1440, "")</f>
        <v>3.8541666666666663E-3</v>
      </c>
      <c r="J22" s="23">
        <f>AVERAGE($I$2:I22)</f>
        <v>4.0139991181657852E-3</v>
      </c>
      <c r="K22" s="23">
        <f t="shared" si="3"/>
        <v>3.7268518518518514E-3</v>
      </c>
      <c r="L22" s="23">
        <f t="shared" si="4"/>
        <v>4.9537037037037041E-3</v>
      </c>
      <c r="M22" s="59"/>
      <c r="N22" s="59"/>
    </row>
    <row r="23" spans="1:14" x14ac:dyDescent="0.25">
      <c r="A23" s="30">
        <v>22</v>
      </c>
      <c r="B23" s="36">
        <v>45987</v>
      </c>
      <c r="C23" s="29">
        <v>522</v>
      </c>
      <c r="D23" s="30">
        <f t="shared" ref="D23:D86" si="5">VALUE(RIGHT(C23, 2))</f>
        <v>22</v>
      </c>
      <c r="E23" s="30">
        <f t="shared" si="1"/>
        <v>5</v>
      </c>
      <c r="F23" s="30" t="str">
        <f t="shared" si="2"/>
        <v>November</v>
      </c>
      <c r="G23" s="52">
        <f>IF(COUNTA(C23)=1,(PSN!$E23+(PSN!$D23/60))/1440, "")</f>
        <v>3.7268518518518514E-3</v>
      </c>
      <c r="H23" s="52">
        <f>IF(COUNTA(C23)=1,AVERAGE($G$2:G24), "")</f>
        <v>4.0016103059581322E-3</v>
      </c>
      <c r="I23" s="31">
        <f>IF(COUNTA(C23)=1,((PSN!$E23)+(PSN!$D23/60))/1440, "")</f>
        <v>3.7268518518518514E-3</v>
      </c>
      <c r="J23" s="23">
        <f>AVERAGE($I$2:I23)</f>
        <v>4.0009469696969703E-3</v>
      </c>
      <c r="K23" s="23">
        <f t="shared" si="3"/>
        <v>3.7268518518518514E-3</v>
      </c>
      <c r="L23" s="23">
        <f t="shared" si="4"/>
        <v>4.9537037037037041E-3</v>
      </c>
      <c r="M23" s="59"/>
      <c r="N23" s="59"/>
    </row>
    <row r="24" spans="1:14" x14ac:dyDescent="0.25">
      <c r="A24" s="33">
        <v>23</v>
      </c>
      <c r="B24" s="35">
        <v>45988</v>
      </c>
      <c r="C24" s="32">
        <v>547</v>
      </c>
      <c r="D24" s="33">
        <f t="shared" si="5"/>
        <v>47</v>
      </c>
      <c r="E24" s="33">
        <f t="shared" si="1"/>
        <v>5</v>
      </c>
      <c r="F24" s="33" t="str">
        <f t="shared" si="2"/>
        <v>November</v>
      </c>
      <c r="G24" s="53">
        <f>IF(COUNTA(C24)=1,(PSN!$E24+(PSN!$D24/60))/1440, "")</f>
        <v>4.0162037037037033E-3</v>
      </c>
      <c r="H24" s="53">
        <f>IF(COUNTA(C24)=1,AVERAGE($G$2:G25), "")</f>
        <v>3.9935378086419756E-3</v>
      </c>
      <c r="I24" s="34">
        <f>IF(COUNTA(C24)=1,((PSN!$E24)+(PSN!$D24/60))/1440, "")</f>
        <v>4.0162037037037033E-3</v>
      </c>
      <c r="J24" s="23">
        <f>AVERAGE($I$2:I24)</f>
        <v>4.0016103059581322E-3</v>
      </c>
      <c r="K24" s="23">
        <f t="shared" si="3"/>
        <v>3.7268518518518514E-3</v>
      </c>
      <c r="L24" s="23">
        <f t="shared" si="4"/>
        <v>4.9537037037037041E-3</v>
      </c>
      <c r="M24" s="59"/>
      <c r="N24" s="59"/>
    </row>
    <row r="25" spans="1:14" x14ac:dyDescent="0.25">
      <c r="A25" s="30">
        <v>24</v>
      </c>
      <c r="B25" s="36">
        <v>45989</v>
      </c>
      <c r="C25" s="29">
        <v>529</v>
      </c>
      <c r="D25" s="30">
        <f t="shared" si="5"/>
        <v>29</v>
      </c>
      <c r="E25" s="30">
        <f t="shared" si="1"/>
        <v>5</v>
      </c>
      <c r="F25" s="30" t="str">
        <f t="shared" si="2"/>
        <v>November</v>
      </c>
      <c r="G25" s="52">
        <f>IF(COUNTA(C25)=1,(PSN!$E25+(PSN!$D25/60))/1440, "")</f>
        <v>3.8078703703703703E-3</v>
      </c>
      <c r="H25" s="52">
        <f>IF(COUNTA(C25)=1,AVERAGE($G$2:G26), "")</f>
        <v>3.9916666666666668E-3</v>
      </c>
      <c r="I25" s="31">
        <f>IF(COUNTA(C25)=1,((PSN!$E25)+(PSN!$D25/60))/1440, "")</f>
        <v>3.8078703703703703E-3</v>
      </c>
      <c r="J25" s="23">
        <f>AVERAGE($I$2:I25)</f>
        <v>3.9935378086419756E-3</v>
      </c>
      <c r="K25" s="23">
        <f t="shared" si="3"/>
        <v>3.7268518518518514E-3</v>
      </c>
      <c r="L25" s="23">
        <f t="shared" si="4"/>
        <v>4.9537037037037041E-3</v>
      </c>
      <c r="M25" s="59"/>
      <c r="N25" s="59"/>
    </row>
    <row r="26" spans="1:14" x14ac:dyDescent="0.25">
      <c r="A26" s="33">
        <v>25</v>
      </c>
      <c r="B26" s="35">
        <v>45990</v>
      </c>
      <c r="C26" s="32">
        <v>541</v>
      </c>
      <c r="D26" s="33">
        <f t="shared" si="5"/>
        <v>41</v>
      </c>
      <c r="E26" s="33">
        <f t="shared" si="1"/>
        <v>5</v>
      </c>
      <c r="F26" s="33" t="str">
        <f t="shared" si="2"/>
        <v>November</v>
      </c>
      <c r="G26" s="53">
        <f>IF(COUNTA(C26)=1,(PSN!$E26+(PSN!$D26/60))/1440, "")</f>
        <v>3.9467592592592592E-3</v>
      </c>
      <c r="H26" s="53">
        <f>IF(COUNTA(C26)=1,AVERAGE($G$2:G27), "")</f>
        <v>3.9899394586894584E-3</v>
      </c>
      <c r="I26" s="34">
        <f>IF(COUNTA(C26)=1,((PSN!$E26)+(PSN!$D26/60))/1440, "")</f>
        <v>3.9467592592592592E-3</v>
      </c>
      <c r="J26" s="23">
        <f>AVERAGE($I$2:I26)</f>
        <v>3.9916666666666668E-3</v>
      </c>
      <c r="K26" s="23">
        <f t="shared" si="3"/>
        <v>3.7268518518518514E-3</v>
      </c>
      <c r="L26" s="23">
        <f t="shared" si="4"/>
        <v>4.9537037037037041E-3</v>
      </c>
      <c r="M26" s="59"/>
      <c r="N26" s="59"/>
    </row>
    <row r="27" spans="1:14" x14ac:dyDescent="0.25">
      <c r="A27" s="30">
        <v>26</v>
      </c>
      <c r="B27" s="36">
        <v>45991</v>
      </c>
      <c r="C27" s="29">
        <v>541</v>
      </c>
      <c r="D27" s="30">
        <f t="shared" si="5"/>
        <v>41</v>
      </c>
      <c r="E27" s="30">
        <f t="shared" si="1"/>
        <v>5</v>
      </c>
      <c r="F27" s="30" t="str">
        <f t="shared" si="2"/>
        <v>November</v>
      </c>
      <c r="G27" s="52">
        <f>IF(COUNTA(C27)=1,(PSN!$E27+(PSN!$D27/60))/1440, "")</f>
        <v>3.9467592592592592E-3</v>
      </c>
      <c r="H27" s="52">
        <f>IF(COUNTA(C27)=1,AVERAGE($G$2:G28), "")</f>
        <v>3.9806241426611801E-3</v>
      </c>
      <c r="I27" s="31">
        <f>IF(COUNTA(C27)=1,((PSN!$E27)+(PSN!$D27/60))/1440, "")</f>
        <v>3.9467592592592592E-3</v>
      </c>
      <c r="J27" s="23">
        <f>AVERAGE($I$2:I27)</f>
        <v>3.9899394586894584E-3</v>
      </c>
      <c r="K27" s="23">
        <f t="shared" si="3"/>
        <v>3.7268518518518514E-3</v>
      </c>
      <c r="L27" s="23">
        <f t="shared" si="4"/>
        <v>4.9537037037037041E-3</v>
      </c>
      <c r="M27" s="59"/>
      <c r="N27" s="59"/>
    </row>
    <row r="28" spans="1:14" x14ac:dyDescent="0.25">
      <c r="A28" s="33">
        <v>27</v>
      </c>
      <c r="B28" s="35">
        <v>45993</v>
      </c>
      <c r="C28" s="32">
        <v>523</v>
      </c>
      <c r="D28" s="33">
        <f t="shared" si="5"/>
        <v>23</v>
      </c>
      <c r="E28" s="33">
        <f t="shared" si="1"/>
        <v>5</v>
      </c>
      <c r="F28" s="33" t="str">
        <f t="shared" si="2"/>
        <v>December</v>
      </c>
      <c r="G28" s="53">
        <f>IF(COUNTA(C28)=1,(PSN!$E28+(PSN!$D28/60))/1440, "")</f>
        <v>3.7384259259259263E-3</v>
      </c>
      <c r="H28" s="53">
        <f>IF(COUNTA(C28)=1,AVERAGE($G$2:G29), "")</f>
        <v>3.975694444444444E-3</v>
      </c>
      <c r="I28" s="34">
        <f>IF(COUNTA(C28)=1,((PSN!$E28)+(PSN!$D28/60))/1440, "")</f>
        <v>3.7384259259259263E-3</v>
      </c>
      <c r="J28" s="23">
        <f>AVERAGE($I$2:I28)</f>
        <v>3.9806241426611801E-3</v>
      </c>
      <c r="K28" s="23">
        <f t="shared" si="3"/>
        <v>3.7384259259259263E-3</v>
      </c>
      <c r="L28" s="23">
        <f t="shared" si="4"/>
        <v>4.4560185185185189E-3</v>
      </c>
      <c r="M28" s="59"/>
      <c r="N28" s="59"/>
    </row>
    <row r="29" spans="1:14" x14ac:dyDescent="0.25">
      <c r="A29" s="30">
        <v>28</v>
      </c>
      <c r="B29" s="36">
        <v>45994</v>
      </c>
      <c r="C29" s="29">
        <v>532</v>
      </c>
      <c r="D29" s="30">
        <f t="shared" si="5"/>
        <v>32</v>
      </c>
      <c r="E29" s="30">
        <f t="shared" si="1"/>
        <v>5</v>
      </c>
      <c r="F29" s="30" t="str">
        <f t="shared" si="2"/>
        <v>December</v>
      </c>
      <c r="G29" s="52">
        <f>IF(COUNTA(C29)=1,(PSN!$E29+(PSN!$D29/60))/1440, "")</f>
        <v>3.8425925925925923E-3</v>
      </c>
      <c r="H29" s="52">
        <f>IF(COUNTA(C29)=1,AVERAGE($G$2:G30), "")</f>
        <v>3.9906609195402296E-3</v>
      </c>
      <c r="I29" s="31">
        <f>IF(COUNTA(C29)=1,((PSN!$E29)+(PSN!$D29/60))/1440, "")</f>
        <v>3.8425925925925923E-3</v>
      </c>
      <c r="J29" s="23">
        <f>AVERAGE($I$2:I29)</f>
        <v>3.975694444444444E-3</v>
      </c>
      <c r="K29" s="23">
        <f t="shared" si="3"/>
        <v>3.7384259259259263E-3</v>
      </c>
      <c r="L29" s="23">
        <f t="shared" si="4"/>
        <v>4.4560185185185189E-3</v>
      </c>
      <c r="M29" s="59"/>
      <c r="N29" s="59"/>
    </row>
    <row r="30" spans="1:14" x14ac:dyDescent="0.25">
      <c r="A30" s="33">
        <v>29</v>
      </c>
      <c r="B30" s="35">
        <v>45995</v>
      </c>
      <c r="C30" s="32">
        <v>621</v>
      </c>
      <c r="D30" s="33">
        <f t="shared" si="5"/>
        <v>21</v>
      </c>
      <c r="E30" s="33">
        <f t="shared" si="1"/>
        <v>6</v>
      </c>
      <c r="F30" s="33" t="str">
        <f t="shared" si="2"/>
        <v>December</v>
      </c>
      <c r="G30" s="53">
        <f>IF(COUNTA(C30)=1,(PSN!$E30+(PSN!$D30/60))/1440, "")</f>
        <v>4.409722222222222E-3</v>
      </c>
      <c r="H30" s="53">
        <f>IF(COUNTA(C30)=1,AVERAGE($G$2:G31), "")</f>
        <v>4.0061728395061726E-3</v>
      </c>
      <c r="I30" s="34">
        <f>IF(COUNTA(C30)=1,((PSN!$E30)+(PSN!$D30/60))/1440, "")</f>
        <v>4.409722222222222E-3</v>
      </c>
      <c r="J30" s="23">
        <f>AVERAGE($I$2:I30)</f>
        <v>3.9906609195402296E-3</v>
      </c>
      <c r="K30" s="23">
        <f t="shared" si="3"/>
        <v>3.7384259259259263E-3</v>
      </c>
      <c r="L30" s="23">
        <f t="shared" si="4"/>
        <v>4.4560185185185189E-3</v>
      </c>
      <c r="M30" s="59"/>
      <c r="N30" s="59"/>
    </row>
    <row r="31" spans="1:14" x14ac:dyDescent="0.25">
      <c r="A31" s="30">
        <v>30</v>
      </c>
      <c r="B31" s="36">
        <v>45996</v>
      </c>
      <c r="C31" s="29">
        <v>625</v>
      </c>
      <c r="D31" s="30">
        <f t="shared" si="5"/>
        <v>25</v>
      </c>
      <c r="E31" s="30">
        <f t="shared" si="1"/>
        <v>6</v>
      </c>
      <c r="F31" s="30" t="str">
        <f t="shared" si="2"/>
        <v>December</v>
      </c>
      <c r="G31" s="52">
        <f>IF(COUNTA(C31)=1,(PSN!$E31+(PSN!$D31/60))/1440, "")</f>
        <v>4.4560185185185189E-3</v>
      </c>
      <c r="H31" s="52">
        <f>IF(COUNTA(C31)=1,AVERAGE($G$2:G32), "")</f>
        <v>4.0106033452807647E-3</v>
      </c>
      <c r="I31" s="31">
        <f>IF(COUNTA(C31)=1,((PSN!$E31)+(PSN!$D31/60))/1440, "")</f>
        <v>4.4560185185185189E-3</v>
      </c>
      <c r="J31" s="23">
        <f>AVERAGE($I$2:I31)</f>
        <v>4.0061728395061726E-3</v>
      </c>
      <c r="K31" s="23">
        <f t="shared" si="3"/>
        <v>3.7384259259259263E-3</v>
      </c>
      <c r="L31" s="23">
        <f t="shared" si="4"/>
        <v>4.4560185185185189E-3</v>
      </c>
      <c r="M31" s="59"/>
      <c r="N31" s="59"/>
    </row>
    <row r="32" spans="1:14" x14ac:dyDescent="0.25">
      <c r="A32" s="33">
        <v>31</v>
      </c>
      <c r="B32" s="35">
        <v>45998</v>
      </c>
      <c r="C32" s="32">
        <v>558</v>
      </c>
      <c r="D32" s="33">
        <f t="shared" si="5"/>
        <v>58</v>
      </c>
      <c r="E32" s="33">
        <f t="shared" si="1"/>
        <v>5</v>
      </c>
      <c r="F32" s="33" t="str">
        <f t="shared" si="2"/>
        <v>December</v>
      </c>
      <c r="G32" s="53">
        <f>IF(COUNTA(C32)=1,(PSN!$E32+(PSN!$D32/60))/1440, "")</f>
        <v>4.1435185185185186E-3</v>
      </c>
      <c r="H32" s="53">
        <f>IF(COUNTA(C32)=1,AVERAGE($G$2:G33), "")</f>
        <v>4.018012152777777E-3</v>
      </c>
      <c r="I32" s="34">
        <f>IF(COUNTA(C32)=1,((PSN!$E32)+(PSN!$D32/60))/1440, "")</f>
        <v>4.1435185185185186E-3</v>
      </c>
      <c r="J32" s="23">
        <f>AVERAGE($I$2:I32)</f>
        <v>4.0106033452807647E-3</v>
      </c>
      <c r="K32" s="23">
        <f t="shared" si="3"/>
        <v>3.7384259259259263E-3</v>
      </c>
      <c r="L32" s="23">
        <f t="shared" si="4"/>
        <v>4.4560185185185189E-3</v>
      </c>
      <c r="M32" s="59"/>
      <c r="N32" s="59"/>
    </row>
    <row r="33" spans="1:14" x14ac:dyDescent="0.25">
      <c r="A33" s="30">
        <v>32</v>
      </c>
      <c r="B33" s="36">
        <v>45999</v>
      </c>
      <c r="C33" s="29">
        <v>607</v>
      </c>
      <c r="D33" s="30">
        <f t="shared" si="5"/>
        <v>7</v>
      </c>
      <c r="E33" s="30">
        <f t="shared" si="1"/>
        <v>6</v>
      </c>
      <c r="F33" s="30" t="str">
        <f t="shared" si="2"/>
        <v>December</v>
      </c>
      <c r="G33" s="52">
        <f>IF(COUNTA(C33)=1,(PSN!$E33+(PSN!$D33/60))/1440, "")</f>
        <v>4.2476851851851851E-3</v>
      </c>
      <c r="H33" s="52">
        <f>IF(COUNTA(C33)=1,AVERAGE($G$2:G34), "")</f>
        <v>4.0193602693602689E-3</v>
      </c>
      <c r="I33" s="31">
        <f>IF(COUNTA(C33)=1,((PSN!$E33)+(PSN!$D33/60))/1440, "")</f>
        <v>4.2476851851851851E-3</v>
      </c>
      <c r="J33" s="23">
        <f>AVERAGE($I$2:I33)</f>
        <v>4.018012152777777E-3</v>
      </c>
      <c r="K33" s="23">
        <f t="shared" si="3"/>
        <v>3.7384259259259263E-3</v>
      </c>
      <c r="L33" s="23">
        <f t="shared" si="4"/>
        <v>4.4560185185185189E-3</v>
      </c>
      <c r="M33" s="59"/>
      <c r="N33" s="59"/>
    </row>
    <row r="34" spans="1:14" x14ac:dyDescent="0.25">
      <c r="A34" s="33">
        <v>33</v>
      </c>
      <c r="B34" s="35">
        <v>46000</v>
      </c>
      <c r="C34" s="32">
        <v>551</v>
      </c>
      <c r="D34" s="33">
        <f t="shared" si="5"/>
        <v>51</v>
      </c>
      <c r="E34" s="33">
        <f t="shared" si="1"/>
        <v>5</v>
      </c>
      <c r="F34" s="33" t="str">
        <f t="shared" si="2"/>
        <v>December</v>
      </c>
      <c r="G34" s="53">
        <f>IF(COUNTA(C34)=1,(PSN!$E34+(PSN!$D34/60))/1440, "")</f>
        <v>4.0625000000000001E-3</v>
      </c>
      <c r="H34" s="53">
        <f>IF(COUNTA(C34)=1,AVERAGE($G$2:G35), "")</f>
        <v>4.0202886710239642E-3</v>
      </c>
      <c r="I34" s="34">
        <f>IF(COUNTA(C34)=1,((PSN!$E34)+(PSN!$D34/60))/1440, "")</f>
        <v>4.0625000000000001E-3</v>
      </c>
      <c r="J34" s="23">
        <f>AVERAGE($I$2:I34)</f>
        <v>4.0193602693602689E-3</v>
      </c>
      <c r="K34" s="23">
        <f t="shared" ref="K34:K65" si="6">_xlfn.MINIFS(I:I,B:B,"&gt;="&amp;EOMONTH(B34,-1)+1,B:B,"&lt;="&amp;EOMONTH(B34,0))</f>
        <v>3.7384259259259263E-3</v>
      </c>
      <c r="L34" s="23">
        <f t="shared" ref="L34:L65" si="7">_xlfn.MAXIFS(I:I,B:B,"&gt;="&amp;EOMONTH(B34,-1)+1,B:B,"&lt;="&amp;EOMONTH(B34,0))</f>
        <v>4.4560185185185189E-3</v>
      </c>
      <c r="M34" s="59"/>
      <c r="N34" s="59"/>
    </row>
    <row r="35" spans="1:14" x14ac:dyDescent="0.25">
      <c r="A35" s="30">
        <v>34</v>
      </c>
      <c r="B35" s="36">
        <v>46001</v>
      </c>
      <c r="C35" s="29">
        <v>550</v>
      </c>
      <c r="D35" s="30">
        <f t="shared" si="5"/>
        <v>50</v>
      </c>
      <c r="E35" s="30">
        <f t="shared" si="1"/>
        <v>5</v>
      </c>
      <c r="F35" s="30" t="str">
        <f t="shared" si="2"/>
        <v>December</v>
      </c>
      <c r="G35" s="52">
        <f>IF(COUNTA(C35)=1,(PSN!$E35+(PSN!$D35/60))/1440, "")</f>
        <v>4.0509259259259257E-3</v>
      </c>
      <c r="H35" s="52">
        <f>IF(COUNTA(C35)=1,AVERAGE($G$2:G36), "")</f>
        <v>4.0181878306878296E-3</v>
      </c>
      <c r="I35" s="31">
        <f>IF(COUNTA(C35)=1,((PSN!$E35)+(PSN!$D35/60))/1440, "")</f>
        <v>4.0509259259259257E-3</v>
      </c>
      <c r="J35" s="23">
        <f>AVERAGE($I$2:I35)</f>
        <v>4.0202886710239642E-3</v>
      </c>
      <c r="K35" s="23">
        <f t="shared" si="6"/>
        <v>3.7384259259259263E-3</v>
      </c>
      <c r="L35" s="23">
        <f t="shared" si="7"/>
        <v>4.4560185185185189E-3</v>
      </c>
      <c r="M35" s="59"/>
      <c r="N35" s="59"/>
    </row>
    <row r="36" spans="1:14" x14ac:dyDescent="0.25">
      <c r="A36" s="33">
        <v>35</v>
      </c>
      <c r="B36" s="35">
        <v>46002</v>
      </c>
      <c r="C36" s="32">
        <v>541</v>
      </c>
      <c r="D36" s="33">
        <f t="shared" si="5"/>
        <v>41</v>
      </c>
      <c r="E36" s="33">
        <f t="shared" si="1"/>
        <v>5</v>
      </c>
      <c r="F36" s="33" t="str">
        <f t="shared" si="2"/>
        <v>December</v>
      </c>
      <c r="G36" s="53">
        <f>IF(COUNTA(C36)=1,(PSN!$E36+(PSN!$D36/60))/1440, "")</f>
        <v>3.9467592592592592E-3</v>
      </c>
      <c r="H36" s="53">
        <f>IF(COUNTA(C36)=1,AVERAGE($G$2:G37), "")</f>
        <v>4.0271347736625506E-3</v>
      </c>
      <c r="I36" s="34">
        <f>IF(COUNTA(C36)=1,((PSN!$E36)+(PSN!$D36/60))/1440, "")</f>
        <v>3.9467592592592592E-3</v>
      </c>
      <c r="J36" s="23">
        <f>AVERAGE($I$2:I36)</f>
        <v>4.0181878306878296E-3</v>
      </c>
      <c r="K36" s="23">
        <f t="shared" si="6"/>
        <v>3.7384259259259263E-3</v>
      </c>
      <c r="L36" s="23">
        <f t="shared" si="7"/>
        <v>4.4560185185185189E-3</v>
      </c>
      <c r="M36" s="59"/>
      <c r="N36" s="59"/>
    </row>
    <row r="37" spans="1:14" x14ac:dyDescent="0.25">
      <c r="A37" s="30">
        <v>36</v>
      </c>
      <c r="B37" s="36">
        <v>46003</v>
      </c>
      <c r="C37" s="29">
        <v>615</v>
      </c>
      <c r="D37" s="30">
        <f t="shared" si="5"/>
        <v>15</v>
      </c>
      <c r="E37" s="30">
        <f t="shared" si="1"/>
        <v>6</v>
      </c>
      <c r="F37" s="30" t="str">
        <f t="shared" si="2"/>
        <v>December</v>
      </c>
      <c r="G37" s="52">
        <f>IF(COUNTA(C37)=1,(PSN!$E37+(PSN!$D37/60))/1440, "")</f>
        <v>4.340277777777778E-3</v>
      </c>
      <c r="H37" s="52">
        <f>IF(COUNTA(C37)=1,AVERAGE($G$2:G38), "")</f>
        <v>4.0343468468468455E-3</v>
      </c>
      <c r="I37" s="31">
        <f>IF(COUNTA(C37)=1,((PSN!$E37)+(PSN!$D37/60))/1440, "")</f>
        <v>4.340277777777778E-3</v>
      </c>
      <c r="J37" s="23">
        <f>AVERAGE($I$2:I37)</f>
        <v>4.0271347736625506E-3</v>
      </c>
      <c r="K37" s="23">
        <f t="shared" si="6"/>
        <v>3.7384259259259263E-3</v>
      </c>
      <c r="L37" s="23">
        <f t="shared" si="7"/>
        <v>4.4560185185185189E-3</v>
      </c>
      <c r="M37" s="59"/>
      <c r="N37" s="59"/>
    </row>
    <row r="38" spans="1:14" x14ac:dyDescent="0.25">
      <c r="A38" s="33">
        <v>37</v>
      </c>
      <c r="B38" s="35">
        <v>46004</v>
      </c>
      <c r="C38" s="32">
        <v>611</v>
      </c>
      <c r="D38" s="33">
        <f t="shared" si="5"/>
        <v>11</v>
      </c>
      <c r="E38" s="33">
        <f t="shared" si="1"/>
        <v>6</v>
      </c>
      <c r="F38" s="33" t="str">
        <f t="shared" si="2"/>
        <v>December</v>
      </c>
      <c r="G38" s="53">
        <f>IF(COUNTA(C38)=1,(PSN!$E38+(PSN!$D38/60))/1440, "")</f>
        <v>4.293981481481482E-3</v>
      </c>
      <c r="H38" s="53">
        <f>IF(COUNTA(C38)=1,AVERAGE($G$2:G39), "")</f>
        <v>4.0323464912280695E-3</v>
      </c>
      <c r="I38" s="34">
        <f>IF(COUNTA(C38)=1,((PSN!$E38)+(PSN!$D38/60))/1440, "")</f>
        <v>4.293981481481482E-3</v>
      </c>
      <c r="J38" s="23">
        <f>AVERAGE($I$2:I38)</f>
        <v>4.0343468468468455E-3</v>
      </c>
      <c r="K38" s="23">
        <f t="shared" si="6"/>
        <v>3.7384259259259263E-3</v>
      </c>
      <c r="L38" s="23">
        <f t="shared" si="7"/>
        <v>4.4560185185185189E-3</v>
      </c>
      <c r="M38" s="59"/>
      <c r="N38" s="59"/>
    </row>
    <row r="39" spans="1:14" x14ac:dyDescent="0.25">
      <c r="A39" s="30">
        <v>38</v>
      </c>
      <c r="B39" s="36">
        <v>46005</v>
      </c>
      <c r="C39" s="29">
        <v>542</v>
      </c>
      <c r="D39" s="30">
        <f t="shared" si="5"/>
        <v>42</v>
      </c>
      <c r="E39" s="30">
        <f t="shared" si="1"/>
        <v>5</v>
      </c>
      <c r="F39" s="30" t="str">
        <f t="shared" si="2"/>
        <v>December</v>
      </c>
      <c r="G39" s="52">
        <f>IF(COUNTA(C39)=1,(PSN!$E39+(PSN!$D39/60))/1440, "")</f>
        <v>3.9583333333333337E-3</v>
      </c>
      <c r="H39" s="52">
        <f>IF(COUNTA(C39)=1,AVERAGE($G$2:G40), "")</f>
        <v>4.037571225071224E-3</v>
      </c>
      <c r="I39" s="31">
        <f>IF(COUNTA(C39)=1,((PSN!$E39)+(PSN!$D39/60))/1440, "")</f>
        <v>3.9583333333333337E-3</v>
      </c>
      <c r="J39" s="23">
        <f>AVERAGE($I$2:I39)</f>
        <v>4.0323464912280695E-3</v>
      </c>
      <c r="K39" s="23">
        <f t="shared" si="6"/>
        <v>3.7384259259259263E-3</v>
      </c>
      <c r="L39" s="23">
        <f t="shared" si="7"/>
        <v>4.4560185185185189E-3</v>
      </c>
      <c r="M39" s="59"/>
      <c r="N39" s="59"/>
    </row>
    <row r="40" spans="1:14" x14ac:dyDescent="0.25">
      <c r="A40" s="33">
        <v>39</v>
      </c>
      <c r="B40" s="35">
        <v>46006</v>
      </c>
      <c r="C40" s="32">
        <v>606</v>
      </c>
      <c r="D40" s="33">
        <f t="shared" si="5"/>
        <v>6</v>
      </c>
      <c r="E40" s="33">
        <f t="shared" si="1"/>
        <v>6</v>
      </c>
      <c r="F40" s="33" t="str">
        <f t="shared" si="2"/>
        <v>December</v>
      </c>
      <c r="G40" s="53">
        <f>IF(COUNTA(C40)=1,(PSN!$E40+(PSN!$D40/60))/1440, "")</f>
        <v>4.2361111111111106E-3</v>
      </c>
      <c r="H40" s="53">
        <f>IF(COUNTA(C40)=1,AVERAGE($G$2:G41), "")</f>
        <v>4.0358796296296288E-3</v>
      </c>
      <c r="I40" s="34">
        <f>IF(COUNTA(C40)=1,((PSN!$E40)+(PSN!$D40/60))/1440, "")</f>
        <v>4.2361111111111106E-3</v>
      </c>
      <c r="J40" s="23">
        <f>AVERAGE($I$2:I40)</f>
        <v>4.037571225071224E-3</v>
      </c>
      <c r="K40" s="23">
        <f t="shared" si="6"/>
        <v>3.7384259259259263E-3</v>
      </c>
      <c r="L40" s="23">
        <f t="shared" si="7"/>
        <v>4.4560185185185189E-3</v>
      </c>
      <c r="M40" s="59"/>
      <c r="N40" s="59"/>
    </row>
    <row r="41" spans="1:14" x14ac:dyDescent="0.25">
      <c r="A41" s="30">
        <v>40</v>
      </c>
      <c r="B41" s="36">
        <v>46007</v>
      </c>
      <c r="C41" s="29">
        <v>543</v>
      </c>
      <c r="D41" s="30">
        <f t="shared" si="5"/>
        <v>43</v>
      </c>
      <c r="E41" s="30">
        <f t="shared" si="1"/>
        <v>5</v>
      </c>
      <c r="F41" s="30" t="str">
        <f t="shared" si="2"/>
        <v>December</v>
      </c>
      <c r="G41" s="52">
        <f>IF(COUNTA(C41)=1,(PSN!$E41+(PSN!$D41/60))/1440, "")</f>
        <v>3.9699074074074072E-3</v>
      </c>
      <c r="H41" s="52">
        <f>IF(COUNTA(C41)=1,AVERAGE($G$2:G42), "")</f>
        <v>4.034552845528454E-3</v>
      </c>
      <c r="I41" s="31">
        <f>IF(COUNTA(C41)=1,((PSN!$E41)+(PSN!$D41/60))/1440, "")</f>
        <v>3.9699074074074072E-3</v>
      </c>
      <c r="J41" s="23">
        <f>AVERAGE($I$2:I41)</f>
        <v>4.0358796296296288E-3</v>
      </c>
      <c r="K41" s="23">
        <f t="shared" si="6"/>
        <v>3.7384259259259263E-3</v>
      </c>
      <c r="L41" s="23">
        <f t="shared" si="7"/>
        <v>4.4560185185185189E-3</v>
      </c>
      <c r="M41" s="59"/>
      <c r="N41" s="59"/>
    </row>
    <row r="42" spans="1:14" x14ac:dyDescent="0.25">
      <c r="A42" s="33">
        <v>41</v>
      </c>
      <c r="B42" s="35">
        <v>46008</v>
      </c>
      <c r="C42" s="32">
        <v>544</v>
      </c>
      <c r="D42" s="33">
        <f t="shared" si="5"/>
        <v>44</v>
      </c>
      <c r="E42" s="33">
        <f t="shared" si="1"/>
        <v>5</v>
      </c>
      <c r="F42" s="33" t="str">
        <f t="shared" si="2"/>
        <v>December</v>
      </c>
      <c r="G42" s="53">
        <f>IF(COUNTA(C42)=1,(PSN!$E42+(PSN!$D42/60))/1440, "")</f>
        <v>3.9814814814814817E-3</v>
      </c>
      <c r="H42" s="53">
        <f>IF(COUNTA(C42)=1,AVERAGE($G$2:G43), "")</f>
        <v>4.0335648148148136E-3</v>
      </c>
      <c r="I42" s="34">
        <f>IF(COUNTA(C42)=1,((PSN!$E42)+(PSN!$D42/60))/1440, "")</f>
        <v>3.9814814814814817E-3</v>
      </c>
      <c r="J42" s="23">
        <f>AVERAGE($I$2:I42)</f>
        <v>4.034552845528454E-3</v>
      </c>
      <c r="K42" s="23">
        <f t="shared" si="6"/>
        <v>3.7384259259259263E-3</v>
      </c>
      <c r="L42" s="23">
        <f t="shared" si="7"/>
        <v>4.4560185185185189E-3</v>
      </c>
      <c r="M42" s="59"/>
      <c r="N42" s="59"/>
    </row>
    <row r="43" spans="1:14" x14ac:dyDescent="0.25">
      <c r="A43" s="30">
        <v>42</v>
      </c>
      <c r="B43" s="36">
        <v>46009</v>
      </c>
      <c r="C43" s="29">
        <v>545</v>
      </c>
      <c r="D43" s="30">
        <f t="shared" si="5"/>
        <v>45</v>
      </c>
      <c r="E43" s="30">
        <f t="shared" si="1"/>
        <v>5</v>
      </c>
      <c r="F43" s="30" t="str">
        <f t="shared" si="2"/>
        <v>December</v>
      </c>
      <c r="G43" s="52">
        <f>IF(COUNTA(C43)=1,(PSN!$E43+(PSN!$D43/60))/1440, "")</f>
        <v>3.9930555555555552E-3</v>
      </c>
      <c r="H43" s="52">
        <f>IF(COUNTA(C43)=1,AVERAGE($G$2:G44), "")</f>
        <v>4.0374677002583967E-3</v>
      </c>
      <c r="I43" s="31">
        <f>IF(COUNTA(C43)=1,((PSN!$E43)+(PSN!$D43/60))/1440, "")</f>
        <v>3.9930555555555552E-3</v>
      </c>
      <c r="J43" s="23">
        <f>AVERAGE($I$2:I43)</f>
        <v>4.0335648148148136E-3</v>
      </c>
      <c r="K43" s="23">
        <f t="shared" si="6"/>
        <v>3.7384259259259263E-3</v>
      </c>
      <c r="L43" s="23">
        <f t="shared" si="7"/>
        <v>4.4560185185185189E-3</v>
      </c>
      <c r="M43" s="59"/>
      <c r="N43" s="59"/>
    </row>
    <row r="44" spans="1:14" x14ac:dyDescent="0.25">
      <c r="A44" s="33">
        <v>43</v>
      </c>
      <c r="B44" s="35">
        <v>46010</v>
      </c>
      <c r="C44" s="32">
        <v>603</v>
      </c>
      <c r="D44" s="33">
        <f t="shared" si="5"/>
        <v>3</v>
      </c>
      <c r="E44" s="33">
        <f t="shared" si="1"/>
        <v>6</v>
      </c>
      <c r="F44" s="33" t="str">
        <f t="shared" si="2"/>
        <v>December</v>
      </c>
      <c r="G44" s="53">
        <f>IF(COUNTA(C44)=1,(PSN!$E44+(PSN!$D44/60))/1440, "")</f>
        <v>4.2013888888888891E-3</v>
      </c>
      <c r="H44" s="53">
        <f>IF(COUNTA(C44)=1,AVERAGE($G$2:G45), "")</f>
        <v>4.0343539562289546E-3</v>
      </c>
      <c r="I44" s="34">
        <f>IF(COUNTA(C44)=1,((PSN!$E44)+(PSN!$D44/60))/1440, "")</f>
        <v>4.2013888888888891E-3</v>
      </c>
      <c r="J44" s="23">
        <f>AVERAGE($I$2:I44)</f>
        <v>4.0374677002583967E-3</v>
      </c>
      <c r="K44" s="23">
        <f t="shared" si="6"/>
        <v>3.7384259259259263E-3</v>
      </c>
      <c r="L44" s="23">
        <f t="shared" si="7"/>
        <v>4.4560185185185189E-3</v>
      </c>
      <c r="M44" s="59"/>
      <c r="N44" s="59"/>
    </row>
    <row r="45" spans="1:14" x14ac:dyDescent="0.25">
      <c r="A45" s="30">
        <v>44</v>
      </c>
      <c r="B45" s="36">
        <v>46012</v>
      </c>
      <c r="C45" s="29">
        <v>537</v>
      </c>
      <c r="D45" s="30">
        <f t="shared" si="5"/>
        <v>37</v>
      </c>
      <c r="E45" s="30">
        <f t="shared" si="1"/>
        <v>5</v>
      </c>
      <c r="F45" s="30" t="str">
        <f t="shared" si="2"/>
        <v>December</v>
      </c>
      <c r="G45" s="52">
        <f>IF(COUNTA(C45)=1,(PSN!$E45+(PSN!$D45/60))/1440, "")</f>
        <v>3.9004629629629632E-3</v>
      </c>
      <c r="H45" s="52">
        <f>IF(COUNTA(C45)=1,AVERAGE($G$2:G46), "")</f>
        <v>4.0424382716049371E-3</v>
      </c>
      <c r="I45" s="31">
        <f>IF(COUNTA(C45)=1,((PSN!$E45)+(PSN!$D45/60))/1440, "")</f>
        <v>3.9004629629629632E-3</v>
      </c>
      <c r="J45" s="23">
        <f>AVERAGE($I$2:I45)</f>
        <v>4.0343539562289546E-3</v>
      </c>
      <c r="K45" s="23">
        <f t="shared" si="6"/>
        <v>3.7384259259259263E-3</v>
      </c>
      <c r="L45" s="23">
        <f t="shared" si="7"/>
        <v>4.4560185185185189E-3</v>
      </c>
      <c r="M45" s="59"/>
      <c r="N45" s="59"/>
    </row>
    <row r="46" spans="1:14" x14ac:dyDescent="0.25">
      <c r="A46" s="33">
        <v>45</v>
      </c>
      <c r="B46" s="35">
        <v>46013</v>
      </c>
      <c r="C46" s="32">
        <v>620</v>
      </c>
      <c r="D46" s="33">
        <f t="shared" si="5"/>
        <v>20</v>
      </c>
      <c r="E46" s="33">
        <f t="shared" si="1"/>
        <v>6</v>
      </c>
      <c r="F46" s="33" t="str">
        <f t="shared" si="2"/>
        <v>December</v>
      </c>
      <c r="G46" s="53">
        <f>IF(COUNTA(C46)=1,(PSN!$E46+(PSN!$D46/60))/1440, "")</f>
        <v>4.3981481481481476E-3</v>
      </c>
      <c r="H46" s="53">
        <f>IF(COUNTA(C46)=1,AVERAGE($G$2:G47), "")</f>
        <v>4.0479066022544273E-3</v>
      </c>
      <c r="I46" s="34">
        <f>IF(COUNTA(C46)=1,((PSN!$E46)+(PSN!$D46/60))/1440, "")</f>
        <v>4.3981481481481476E-3</v>
      </c>
      <c r="J46" s="23">
        <f>AVERAGE($I$2:I46)</f>
        <v>4.0424382716049371E-3</v>
      </c>
      <c r="K46" s="23">
        <f t="shared" si="6"/>
        <v>3.7384259259259263E-3</v>
      </c>
      <c r="L46" s="23">
        <f t="shared" si="7"/>
        <v>4.4560185185185189E-3</v>
      </c>
      <c r="M46" s="59"/>
      <c r="N46" s="59"/>
    </row>
    <row r="47" spans="1:14" x14ac:dyDescent="0.25">
      <c r="A47" s="30">
        <v>46</v>
      </c>
      <c r="B47" s="36">
        <v>46014</v>
      </c>
      <c r="C47" s="29">
        <v>611</v>
      </c>
      <c r="D47" s="30">
        <f t="shared" si="5"/>
        <v>11</v>
      </c>
      <c r="E47" s="30">
        <f t="shared" si="1"/>
        <v>6</v>
      </c>
      <c r="F47" s="30" t="str">
        <f t="shared" si="2"/>
        <v>December</v>
      </c>
      <c r="G47" s="52">
        <f>IF(COUNTA(C47)=1,(PSN!$E47+(PSN!$D47/60))/1440, "")</f>
        <v>4.293981481481482E-3</v>
      </c>
      <c r="H47" s="52">
        <f>IF(COUNTA(C47)=1,AVERAGE($G$2:G48), "")</f>
        <v>4.0460007880220635E-3</v>
      </c>
      <c r="I47" s="31">
        <f>IF(COUNTA(C47)=1,((PSN!$E47)+(PSN!$D47/60))/1440, "")</f>
        <v>4.293981481481482E-3</v>
      </c>
      <c r="J47" s="23">
        <f>AVERAGE($I$2:I47)</f>
        <v>4.0479066022544273E-3</v>
      </c>
      <c r="K47" s="23">
        <f t="shared" si="6"/>
        <v>3.7384259259259263E-3</v>
      </c>
      <c r="L47" s="23">
        <f t="shared" si="7"/>
        <v>4.4560185185185189E-3</v>
      </c>
      <c r="M47" s="59"/>
      <c r="N47" s="59"/>
    </row>
    <row r="48" spans="1:14" x14ac:dyDescent="0.25">
      <c r="A48" s="33">
        <v>47</v>
      </c>
      <c r="B48" s="35">
        <v>46015</v>
      </c>
      <c r="C48" s="32">
        <v>542</v>
      </c>
      <c r="D48" s="33">
        <f t="shared" si="5"/>
        <v>42</v>
      </c>
      <c r="E48" s="33">
        <f t="shared" si="1"/>
        <v>5</v>
      </c>
      <c r="F48" s="33" t="str">
        <f t="shared" si="2"/>
        <v>December</v>
      </c>
      <c r="G48" s="53">
        <f>IF(COUNTA(C48)=1,(PSN!$E48+(PSN!$D48/60))/1440, "")</f>
        <v>3.9583333333333337E-3</v>
      </c>
      <c r="H48" s="53">
        <f>IF(COUNTA(C48)=1,AVERAGE($G$2:G49), "")</f>
        <v>4.0482735339506162E-3</v>
      </c>
      <c r="I48" s="34">
        <f>IF(COUNTA(C48)=1,((PSN!$E48)+(PSN!$D48/60))/1440, "")</f>
        <v>3.9583333333333337E-3</v>
      </c>
      <c r="J48" s="23">
        <f>AVERAGE($I$2:I48)</f>
        <v>4.0460007880220635E-3</v>
      </c>
      <c r="K48" s="23">
        <f t="shared" si="6"/>
        <v>3.7384259259259263E-3</v>
      </c>
      <c r="L48" s="23">
        <f t="shared" si="7"/>
        <v>4.4560185185185189E-3</v>
      </c>
      <c r="M48" s="59"/>
      <c r="N48" s="59"/>
    </row>
    <row r="49" spans="1:14" x14ac:dyDescent="0.25">
      <c r="A49" s="30">
        <v>48</v>
      </c>
      <c r="B49" s="36">
        <v>46016</v>
      </c>
      <c r="C49" s="29">
        <v>559</v>
      </c>
      <c r="D49" s="30">
        <f t="shared" si="5"/>
        <v>59</v>
      </c>
      <c r="E49" s="30">
        <f t="shared" si="1"/>
        <v>5</v>
      </c>
      <c r="F49" s="30" t="str">
        <f t="shared" si="2"/>
        <v>December</v>
      </c>
      <c r="G49" s="52">
        <f>IF(COUNTA(C49)=1,(PSN!$E49+(PSN!$D49/60))/1440, "")</f>
        <v>4.155092592592593E-3</v>
      </c>
      <c r="H49" s="52">
        <f>IF(COUNTA(C49)=1,AVERAGE($G$2:G50), "")</f>
        <v>4.0452569916855615E-3</v>
      </c>
      <c r="I49" s="31">
        <f>IF(COUNTA(C49)=1,((PSN!$E49)+(PSN!$D49/60))/1440, "")</f>
        <v>4.155092592592593E-3</v>
      </c>
      <c r="J49" s="23">
        <f>AVERAGE($I$2:I49)</f>
        <v>4.0482735339506162E-3</v>
      </c>
      <c r="K49" s="23">
        <f t="shared" si="6"/>
        <v>3.7384259259259263E-3</v>
      </c>
      <c r="L49" s="23">
        <f t="shared" si="7"/>
        <v>4.4560185185185189E-3</v>
      </c>
      <c r="M49" s="59"/>
      <c r="N49" s="59"/>
    </row>
    <row r="50" spans="1:14" x14ac:dyDescent="0.25">
      <c r="A50" s="33">
        <v>49</v>
      </c>
      <c r="B50" s="35">
        <v>46017</v>
      </c>
      <c r="C50" s="32">
        <v>537</v>
      </c>
      <c r="D50" s="33">
        <f t="shared" si="5"/>
        <v>37</v>
      </c>
      <c r="E50" s="33">
        <f t="shared" si="1"/>
        <v>5</v>
      </c>
      <c r="F50" s="33" t="str">
        <f t="shared" si="2"/>
        <v>December</v>
      </c>
      <c r="G50" s="53">
        <f>IF(COUNTA(C50)=1,(PSN!$E50+(PSN!$D50/60))/1440, "")</f>
        <v>3.9004629629629632E-3</v>
      </c>
      <c r="H50" s="53">
        <f>IF(COUNTA(C50)=1,AVERAGE($G$2:G51), "")</f>
        <v>4.0432870370370353E-3</v>
      </c>
      <c r="I50" s="34">
        <f>IF(COUNTA(C50)=1,((PSN!$E50)+(PSN!$D50/60))/1440, "")</f>
        <v>3.9004629629629632E-3</v>
      </c>
      <c r="J50" s="23">
        <f>AVERAGE($I$2:I50)</f>
        <v>4.0452569916855615E-3</v>
      </c>
      <c r="K50" s="23">
        <f t="shared" si="6"/>
        <v>3.7384259259259263E-3</v>
      </c>
      <c r="L50" s="23">
        <f t="shared" si="7"/>
        <v>4.4560185185185189E-3</v>
      </c>
      <c r="M50" s="59"/>
      <c r="N50" s="59"/>
    </row>
    <row r="51" spans="1:14" x14ac:dyDescent="0.25">
      <c r="A51" s="30">
        <v>50</v>
      </c>
      <c r="B51" s="36">
        <v>46018</v>
      </c>
      <c r="C51" s="29">
        <v>541</v>
      </c>
      <c r="D51" s="30">
        <f t="shared" si="5"/>
        <v>41</v>
      </c>
      <c r="E51" s="30">
        <f t="shared" si="1"/>
        <v>5</v>
      </c>
      <c r="F51" s="30" t="str">
        <f t="shared" si="2"/>
        <v>December</v>
      </c>
      <c r="G51" s="52">
        <f>IF(COUNTA(C51)=1,(PSN!$E51+(PSN!$D51/60))/1440, "")</f>
        <v>3.9467592592592592E-3</v>
      </c>
      <c r="H51" s="52">
        <f>IF(COUNTA(C51)=1,AVERAGE($G$2:G52), "")</f>
        <v>4.0413943355119804E-3</v>
      </c>
      <c r="I51" s="31">
        <f>IF(COUNTA(C51)=1,((PSN!$E51)+(PSN!$D51/60))/1440, "")</f>
        <v>3.9467592592592592E-3</v>
      </c>
      <c r="J51" s="23">
        <f>AVERAGE($I$2:I51)</f>
        <v>4.0432870370370353E-3</v>
      </c>
      <c r="K51" s="23">
        <f t="shared" si="6"/>
        <v>3.7384259259259263E-3</v>
      </c>
      <c r="L51" s="23">
        <f t="shared" si="7"/>
        <v>4.4560185185185189E-3</v>
      </c>
      <c r="M51" s="59"/>
      <c r="N51" s="59"/>
    </row>
    <row r="52" spans="1:14" x14ac:dyDescent="0.25">
      <c r="A52" s="33">
        <v>51</v>
      </c>
      <c r="B52" s="35">
        <v>46019</v>
      </c>
      <c r="C52" s="32">
        <v>541</v>
      </c>
      <c r="D52" s="33">
        <f t="shared" si="5"/>
        <v>41</v>
      </c>
      <c r="E52" s="33">
        <f t="shared" si="1"/>
        <v>5</v>
      </c>
      <c r="F52" s="33" t="str">
        <f t="shared" si="2"/>
        <v>December</v>
      </c>
      <c r="G52" s="53">
        <f>IF(COUNTA(C52)=1,(PSN!$E52+(PSN!$D52/60))/1440, "")</f>
        <v>3.9467592592592592E-3</v>
      </c>
      <c r="H52" s="53">
        <f>IF(COUNTA(C52)=1,AVERAGE($G$2:G53), "")</f>
        <v>4.0489227207977192E-3</v>
      </c>
      <c r="I52" s="34">
        <f>IF(COUNTA(C52)=1,((PSN!$E52)+(PSN!$D52/60))/1440, "")</f>
        <v>3.9467592592592592E-3</v>
      </c>
      <c r="J52" s="23">
        <f>AVERAGE($I$2:I52)</f>
        <v>4.0413943355119804E-3</v>
      </c>
      <c r="K52" s="23">
        <f t="shared" si="6"/>
        <v>3.7384259259259263E-3</v>
      </c>
      <c r="L52" s="23">
        <f t="shared" si="7"/>
        <v>4.4560185185185189E-3</v>
      </c>
      <c r="M52" s="59"/>
      <c r="N52" s="59"/>
    </row>
    <row r="53" spans="1:14" x14ac:dyDescent="0.25">
      <c r="A53" s="30">
        <v>52</v>
      </c>
      <c r="B53" s="36">
        <v>46020</v>
      </c>
      <c r="C53" s="29">
        <v>623</v>
      </c>
      <c r="D53" s="30">
        <f t="shared" si="5"/>
        <v>23</v>
      </c>
      <c r="E53" s="30">
        <f t="shared" si="1"/>
        <v>6</v>
      </c>
      <c r="F53" s="30" t="str">
        <f t="shared" si="2"/>
        <v>December</v>
      </c>
      <c r="G53" s="52">
        <f>IF(COUNTA(C53)=1,(PSN!$E53+(PSN!$D53/60))/1440, "")</f>
        <v>4.4328703703703709E-3</v>
      </c>
      <c r="H53" s="52">
        <f>IF(COUNTA(C53)=1,AVERAGE($G$2:G54), "")</f>
        <v>4.0504891684136953E-3</v>
      </c>
      <c r="I53" s="31">
        <f>IF(COUNTA(C53)=1,((PSN!$E53)+(PSN!$D53/60))/1440, "")</f>
        <v>4.4328703703703709E-3</v>
      </c>
      <c r="J53" s="23">
        <f>AVERAGE($I$2:I53)</f>
        <v>4.0489227207977192E-3</v>
      </c>
      <c r="K53" s="23">
        <f t="shared" si="6"/>
        <v>3.7384259259259263E-3</v>
      </c>
      <c r="L53" s="23">
        <f t="shared" si="7"/>
        <v>4.4560185185185189E-3</v>
      </c>
      <c r="M53" s="59"/>
      <c r="N53" s="59"/>
    </row>
    <row r="54" spans="1:14" x14ac:dyDescent="0.25">
      <c r="A54" s="33">
        <v>53</v>
      </c>
      <c r="B54" s="35">
        <v>46022</v>
      </c>
      <c r="C54" s="32">
        <v>557</v>
      </c>
      <c r="D54" s="33">
        <f t="shared" si="5"/>
        <v>57</v>
      </c>
      <c r="E54" s="33">
        <f t="shared" si="1"/>
        <v>5</v>
      </c>
      <c r="F54" s="33" t="str">
        <f t="shared" si="2"/>
        <v>December</v>
      </c>
      <c r="G54" s="53">
        <f>IF(COUNTA(C54)=1,(PSN!$E54+(PSN!$D54/60))/1440, "")</f>
        <v>4.1319444444444442E-3</v>
      </c>
      <c r="H54" s="53">
        <f>IF(COUNTA(C54)=1,AVERAGE($G$2:G55), "")</f>
        <v>4.0459962277091888E-3</v>
      </c>
      <c r="I54" s="34">
        <f>IF(COUNTA(C54)=1,((PSN!$E54)+(PSN!$D54/60))/1440, "")</f>
        <v>4.1319444444444442E-3</v>
      </c>
      <c r="J54" s="23">
        <f>AVERAGE($I$2:I54)</f>
        <v>4.0504891684136953E-3</v>
      </c>
      <c r="K54" s="23">
        <f t="shared" si="6"/>
        <v>3.7384259259259263E-3</v>
      </c>
      <c r="L54" s="23">
        <f t="shared" si="7"/>
        <v>4.4560185185185189E-3</v>
      </c>
      <c r="M54" s="59"/>
      <c r="N54" s="59"/>
    </row>
    <row r="55" spans="1:14" x14ac:dyDescent="0.25">
      <c r="A55" s="30">
        <v>54</v>
      </c>
      <c r="B55" s="36">
        <v>46023</v>
      </c>
      <c r="C55" s="29">
        <v>529</v>
      </c>
      <c r="D55" s="30">
        <f t="shared" si="5"/>
        <v>29</v>
      </c>
      <c r="E55" s="30">
        <f t="shared" si="1"/>
        <v>5</v>
      </c>
      <c r="F55" s="30" t="str">
        <f t="shared" si="2"/>
        <v>January</v>
      </c>
      <c r="G55" s="52">
        <f>IF(COUNTA(C55)=1,(PSN!$E55+(PSN!$D55/60))/1440, "")</f>
        <v>3.8078703703703703E-3</v>
      </c>
      <c r="H55" s="52">
        <f>IF(COUNTA(C55)=1,AVERAGE($G$2:G56), "")</f>
        <v>4.0469276094276078E-3</v>
      </c>
      <c r="I55" s="31">
        <f>IF(COUNTA(C55)=1,((PSN!$E55)+(PSN!$D55/60))/1440, "")</f>
        <v>3.8078703703703703E-3</v>
      </c>
      <c r="J55" s="23">
        <f>AVERAGE($I$2:I55)</f>
        <v>4.0459962277091888E-3</v>
      </c>
      <c r="K55" s="23">
        <f t="shared" si="6"/>
        <v>3.6342592592592594E-3</v>
      </c>
      <c r="L55" s="23">
        <f t="shared" si="7"/>
        <v>4.0972222222222226E-3</v>
      </c>
      <c r="M55" s="59"/>
      <c r="N55" s="59"/>
    </row>
    <row r="56" spans="1:14" x14ac:dyDescent="0.25">
      <c r="A56" s="33">
        <v>55</v>
      </c>
      <c r="B56" s="35">
        <v>46024</v>
      </c>
      <c r="C56" s="32">
        <v>554</v>
      </c>
      <c r="D56" s="33">
        <f t="shared" si="5"/>
        <v>54</v>
      </c>
      <c r="E56" s="33">
        <f t="shared" si="1"/>
        <v>5</v>
      </c>
      <c r="F56" s="33" t="str">
        <f t="shared" si="2"/>
        <v>January</v>
      </c>
      <c r="G56" s="53">
        <f>IF(COUNTA(C56)=1,(PSN!$E56+(PSN!$D56/60))/1440, "")</f>
        <v>4.0972222222222226E-3</v>
      </c>
      <c r="H56" s="53">
        <f>IF(COUNTA(C56)=1,AVERAGE($G$2:G57), "")</f>
        <v>4.044518849206348E-3</v>
      </c>
      <c r="I56" s="34">
        <f>IF(COUNTA(C56)=1,((PSN!$E56)+(PSN!$D56/60))/1440, "")</f>
        <v>4.0972222222222226E-3</v>
      </c>
      <c r="J56" s="23">
        <f>AVERAGE($I$2:I56)</f>
        <v>4.0469276094276078E-3</v>
      </c>
      <c r="K56" s="23">
        <f t="shared" si="6"/>
        <v>3.6342592592592594E-3</v>
      </c>
      <c r="L56" s="23">
        <f t="shared" si="7"/>
        <v>4.0972222222222226E-3</v>
      </c>
      <c r="M56" s="59"/>
      <c r="N56" s="59"/>
    </row>
    <row r="57" spans="1:14" x14ac:dyDescent="0.25">
      <c r="A57" s="30">
        <v>56</v>
      </c>
      <c r="B57" s="36">
        <v>46025</v>
      </c>
      <c r="C57" s="29">
        <v>538</v>
      </c>
      <c r="D57" s="30">
        <f t="shared" si="5"/>
        <v>38</v>
      </c>
      <c r="E57" s="30">
        <f t="shared" si="1"/>
        <v>5</v>
      </c>
      <c r="F57" s="30" t="str">
        <f t="shared" si="2"/>
        <v>January</v>
      </c>
      <c r="G57" s="52">
        <f>IF(COUNTA(C57)=1,(PSN!$E57+(PSN!$D57/60))/1440, "")</f>
        <v>3.9120370370370368E-3</v>
      </c>
      <c r="H57" s="52">
        <f>IF(COUNTA(C57)=1,AVERAGE($G$2:G58), "")</f>
        <v>4.0430068226120844E-3</v>
      </c>
      <c r="I57" s="31">
        <f>IF(COUNTA(C57)=1,((PSN!$E57)+(PSN!$D57/60))/1440, "")</f>
        <v>3.9120370370370368E-3</v>
      </c>
      <c r="J57" s="23">
        <f>AVERAGE($I$2:I57)</f>
        <v>4.044518849206348E-3</v>
      </c>
      <c r="K57" s="23">
        <f t="shared" si="6"/>
        <v>3.6342592592592594E-3</v>
      </c>
      <c r="L57" s="23">
        <f t="shared" si="7"/>
        <v>4.0972222222222226E-3</v>
      </c>
      <c r="M57" s="59"/>
      <c r="N57" s="59"/>
    </row>
    <row r="58" spans="1:14" x14ac:dyDescent="0.25">
      <c r="A58" s="33">
        <v>57</v>
      </c>
      <c r="B58" s="35">
        <v>46026</v>
      </c>
      <c r="C58" s="32">
        <v>542</v>
      </c>
      <c r="D58" s="33">
        <f t="shared" si="5"/>
        <v>42</v>
      </c>
      <c r="E58" s="33">
        <f t="shared" si="1"/>
        <v>5</v>
      </c>
      <c r="F58" s="33" t="str">
        <f t="shared" si="2"/>
        <v>January</v>
      </c>
      <c r="G58" s="53">
        <f>IF(COUNTA(C58)=1,(PSN!$E58+(PSN!$D58/60))/1440, "")</f>
        <v>3.9583333333333337E-3</v>
      </c>
      <c r="H58" s="53">
        <f>IF(COUNTA(C58)=1,AVERAGE($G$2:G59), "")</f>
        <v>4.0391522988505735E-3</v>
      </c>
      <c r="I58" s="34">
        <f>IF(COUNTA(C58)=1,((PSN!$E58)+(PSN!$D58/60))/1440, "")</f>
        <v>3.9583333333333337E-3</v>
      </c>
      <c r="J58" s="23">
        <f>AVERAGE($I$2:I58)</f>
        <v>4.0430068226120844E-3</v>
      </c>
      <c r="K58" s="23">
        <f t="shared" si="6"/>
        <v>3.6342592592592594E-3</v>
      </c>
      <c r="L58" s="23">
        <f t="shared" si="7"/>
        <v>4.0972222222222226E-3</v>
      </c>
      <c r="M58" s="59"/>
      <c r="N58" s="59"/>
    </row>
    <row r="59" spans="1:14" x14ac:dyDescent="0.25">
      <c r="A59" s="30">
        <v>58</v>
      </c>
      <c r="B59" s="36">
        <v>46027</v>
      </c>
      <c r="C59" s="29">
        <v>530</v>
      </c>
      <c r="D59" s="30">
        <f t="shared" si="5"/>
        <v>30</v>
      </c>
      <c r="E59" s="30">
        <f t="shared" si="1"/>
        <v>5</v>
      </c>
      <c r="F59" s="30" t="str">
        <f t="shared" si="2"/>
        <v>January</v>
      </c>
      <c r="G59" s="52">
        <f>IF(COUNTA(C59)=1,(PSN!$E59+(PSN!$D59/60))/1440, "")</f>
        <v>3.8194444444444443E-3</v>
      </c>
      <c r="H59" s="52">
        <f>IF(COUNTA(C59)=1,AVERAGE($G$2:G60), "")</f>
        <v>4.0350360954174505E-3</v>
      </c>
      <c r="I59" s="31">
        <f>IF(COUNTA(C59)=1,((PSN!$E59)+(PSN!$D59/60))/1440, "")</f>
        <v>3.8194444444444443E-3</v>
      </c>
      <c r="J59" s="23">
        <f>AVERAGE($I$2:I59)</f>
        <v>4.0391522988505735E-3</v>
      </c>
      <c r="K59" s="23">
        <f t="shared" si="6"/>
        <v>3.6342592592592594E-3</v>
      </c>
      <c r="L59" s="23">
        <f t="shared" si="7"/>
        <v>4.0972222222222226E-3</v>
      </c>
      <c r="M59" s="59"/>
      <c r="N59" s="59"/>
    </row>
    <row r="60" spans="1:14" x14ac:dyDescent="0.25">
      <c r="A60" s="33">
        <v>59</v>
      </c>
      <c r="B60" s="35">
        <v>46030</v>
      </c>
      <c r="C60" s="32">
        <v>528</v>
      </c>
      <c r="D60" s="33">
        <f t="shared" si="5"/>
        <v>28</v>
      </c>
      <c r="E60" s="33">
        <f t="shared" si="1"/>
        <v>5</v>
      </c>
      <c r="F60" s="33" t="str">
        <f t="shared" si="2"/>
        <v>January</v>
      </c>
      <c r="G60" s="53">
        <f>IF(COUNTA(C60)=1,(PSN!$E60+(PSN!$D60/60))/1440, "")</f>
        <v>3.7962962962962963E-3</v>
      </c>
      <c r="H60" s="53">
        <f>IF(COUNTA(C60)=1,AVERAGE($G$2:G61), "")</f>
        <v>4.0297067901234555E-3</v>
      </c>
      <c r="I60" s="34">
        <f>IF(COUNTA(C60)=1,((PSN!$E60)+(PSN!$D60/60))/1440, "")</f>
        <v>3.7962962962962963E-3</v>
      </c>
      <c r="J60" s="23">
        <f>AVERAGE($I$2:I60)</f>
        <v>4.0350360954174505E-3</v>
      </c>
      <c r="K60" s="23">
        <f t="shared" si="6"/>
        <v>3.6342592592592594E-3</v>
      </c>
      <c r="L60" s="23">
        <f t="shared" si="7"/>
        <v>4.0972222222222226E-3</v>
      </c>
      <c r="M60" s="59"/>
      <c r="N60" s="59"/>
    </row>
    <row r="61" spans="1:14" x14ac:dyDescent="0.25">
      <c r="A61" s="30">
        <v>60</v>
      </c>
      <c r="B61" s="36">
        <v>46031</v>
      </c>
      <c r="C61" s="29">
        <v>521</v>
      </c>
      <c r="D61" s="30">
        <f t="shared" si="5"/>
        <v>21</v>
      </c>
      <c r="E61" s="30">
        <f t="shared" si="1"/>
        <v>5</v>
      </c>
      <c r="F61" s="30" t="str">
        <f t="shared" si="2"/>
        <v>January</v>
      </c>
      <c r="G61" s="52">
        <f>IF(COUNTA(C61)=1,(PSN!$E61+(PSN!$D61/60))/1440, "")</f>
        <v>3.7152777777777774E-3</v>
      </c>
      <c r="H61" s="52">
        <f>IF(COUNTA(C61)=1,AVERAGE($G$2:G62), "")</f>
        <v>4.0279675166970241E-3</v>
      </c>
      <c r="I61" s="31">
        <f>IF(COUNTA(C61)=1,((PSN!$E61)+(PSN!$D61/60))/1440, "")</f>
        <v>3.7152777777777774E-3</v>
      </c>
      <c r="J61" s="23">
        <f>AVERAGE($I$2:I61)</f>
        <v>4.0297067901234555E-3</v>
      </c>
      <c r="K61" s="23">
        <f t="shared" si="6"/>
        <v>3.6342592592592594E-3</v>
      </c>
      <c r="L61" s="23">
        <f t="shared" si="7"/>
        <v>4.0972222222222226E-3</v>
      </c>
      <c r="M61" s="59"/>
      <c r="N61" s="59"/>
    </row>
    <row r="62" spans="1:14" x14ac:dyDescent="0.25">
      <c r="A62" s="33">
        <v>61</v>
      </c>
      <c r="B62" s="35">
        <v>46034</v>
      </c>
      <c r="C62" s="32">
        <v>539</v>
      </c>
      <c r="D62" s="33">
        <f t="shared" si="5"/>
        <v>39</v>
      </c>
      <c r="E62" s="33">
        <f t="shared" si="1"/>
        <v>5</v>
      </c>
      <c r="F62" s="33" t="str">
        <f t="shared" si="2"/>
        <v>January</v>
      </c>
      <c r="G62" s="53">
        <f>IF(COUNTA(C62)=1,(PSN!$E62+(PSN!$D62/60))/1440, "")</f>
        <v>3.9236111111111112E-3</v>
      </c>
      <c r="H62" s="53">
        <f>IF(COUNTA(C62)=1,AVERAGE($G$2:G63), "")</f>
        <v>4.0283378136200705E-3</v>
      </c>
      <c r="I62" s="34">
        <f>IF(COUNTA(C62)=1,((PSN!$E62)+(PSN!$D62/60))/1440, "")</f>
        <v>3.9236111111111112E-3</v>
      </c>
      <c r="J62" s="23">
        <f>AVERAGE($I$2:I62)</f>
        <v>4.0279675166970241E-3</v>
      </c>
      <c r="K62" s="23">
        <f t="shared" si="6"/>
        <v>3.6342592592592594E-3</v>
      </c>
      <c r="L62" s="23">
        <f t="shared" si="7"/>
        <v>4.0972222222222226E-3</v>
      </c>
      <c r="M62" s="59"/>
      <c r="N62" s="59"/>
    </row>
    <row r="63" spans="1:14" x14ac:dyDescent="0.25">
      <c r="A63" s="30">
        <v>62</v>
      </c>
      <c r="B63" s="36">
        <v>46035</v>
      </c>
      <c r="C63" s="29">
        <v>550</v>
      </c>
      <c r="D63" s="30">
        <f t="shared" si="5"/>
        <v>50</v>
      </c>
      <c r="E63" s="30">
        <f t="shared" si="1"/>
        <v>5</v>
      </c>
      <c r="F63" s="30" t="str">
        <f t="shared" si="2"/>
        <v>January</v>
      </c>
      <c r="G63" s="52">
        <f>IF(COUNTA(C63)=1,(PSN!$E63+(PSN!$D63/60))/1440, "")</f>
        <v>4.0509259259259257E-3</v>
      </c>
      <c r="H63" s="52">
        <f>IF(COUNTA(C63)=1,AVERAGE($G$2:G64), "")</f>
        <v>4.0253894767783649E-3</v>
      </c>
      <c r="I63" s="31">
        <f>IF(COUNTA(C63)=1,((PSN!$E63)+(PSN!$D63/60))/1440, "")</f>
        <v>4.0509259259259257E-3</v>
      </c>
      <c r="J63" s="23">
        <f>AVERAGE($I$2:I63)</f>
        <v>4.0283378136200705E-3</v>
      </c>
      <c r="K63" s="23">
        <f t="shared" si="6"/>
        <v>3.6342592592592594E-3</v>
      </c>
      <c r="L63" s="23">
        <f t="shared" si="7"/>
        <v>4.0972222222222226E-3</v>
      </c>
      <c r="M63" s="59"/>
      <c r="N63" s="59"/>
    </row>
    <row r="64" spans="1:14" x14ac:dyDescent="0.25">
      <c r="A64" s="33">
        <v>63</v>
      </c>
      <c r="B64" s="35">
        <v>46036</v>
      </c>
      <c r="C64" s="32">
        <v>532</v>
      </c>
      <c r="D64" s="33">
        <f t="shared" si="5"/>
        <v>32</v>
      </c>
      <c r="E64" s="33">
        <f t="shared" si="1"/>
        <v>5</v>
      </c>
      <c r="F64" s="33" t="str">
        <f t="shared" si="2"/>
        <v>January</v>
      </c>
      <c r="G64" s="53">
        <f>IF(COUNTA(C64)=1,(PSN!$E64+(PSN!$D64/60))/1440, "")</f>
        <v>3.8425925925925923E-3</v>
      </c>
      <c r="H64" s="53">
        <f>IF(COUNTA(C64)=1,AVERAGE($G$2:G65), "")</f>
        <v>4.0221715856481469E-3</v>
      </c>
      <c r="I64" s="34">
        <f>IF(COUNTA(C64)=1,((PSN!$E64)+(PSN!$D64/60))/1440, "")</f>
        <v>3.8425925925925923E-3</v>
      </c>
      <c r="J64" s="23">
        <f>AVERAGE($I$2:I64)</f>
        <v>4.0253894767783649E-3</v>
      </c>
      <c r="K64" s="23">
        <f t="shared" si="6"/>
        <v>3.6342592592592594E-3</v>
      </c>
      <c r="L64" s="23">
        <f t="shared" si="7"/>
        <v>4.0972222222222226E-3</v>
      </c>
      <c r="M64" s="59"/>
      <c r="N64" s="59"/>
    </row>
    <row r="65" spans="1:14" x14ac:dyDescent="0.25">
      <c r="A65" s="30">
        <v>64</v>
      </c>
      <c r="B65" s="36">
        <v>46037</v>
      </c>
      <c r="C65" s="29">
        <v>530</v>
      </c>
      <c r="D65" s="30">
        <f t="shared" si="5"/>
        <v>30</v>
      </c>
      <c r="E65" s="30">
        <f t="shared" si="1"/>
        <v>5</v>
      </c>
      <c r="F65" s="30" t="str">
        <f t="shared" si="2"/>
        <v>January</v>
      </c>
      <c r="G65" s="52">
        <f>IF(COUNTA(C65)=1,(PSN!$E65+(PSN!$D65/60))/1440, "")</f>
        <v>3.8194444444444443E-3</v>
      </c>
      <c r="H65" s="52">
        <f>IF(COUNTA(C65)=1,AVERAGE($G$2:G66), "")</f>
        <v>4.017628205128204E-3</v>
      </c>
      <c r="I65" s="31">
        <f>IF(COUNTA(C65)=1,((PSN!$E65)+(PSN!$D65/60))/1440, "")</f>
        <v>3.8194444444444443E-3</v>
      </c>
      <c r="J65" s="23">
        <f>AVERAGE($I$2:I65)</f>
        <v>4.0221715856481469E-3</v>
      </c>
      <c r="K65" s="23">
        <f t="shared" si="6"/>
        <v>3.6342592592592594E-3</v>
      </c>
      <c r="L65" s="23">
        <f t="shared" si="7"/>
        <v>4.0972222222222226E-3</v>
      </c>
      <c r="M65" s="59"/>
      <c r="N65" s="59"/>
    </row>
    <row r="66" spans="1:14" x14ac:dyDescent="0.25">
      <c r="A66" s="33">
        <v>65</v>
      </c>
      <c r="B66" s="35">
        <v>46038</v>
      </c>
      <c r="C66" s="32">
        <v>522</v>
      </c>
      <c r="D66" s="33">
        <f t="shared" si="5"/>
        <v>22</v>
      </c>
      <c r="E66" s="33">
        <f t="shared" ref="E66:E93" si="8">VALUE(LEFT(C66,1))</f>
        <v>5</v>
      </c>
      <c r="F66" s="33" t="str">
        <f t="shared" ref="F66:F93" si="9">IF(COUNTA(B66)=1,TEXT(B66, "mmmm"), "")</f>
        <v>January</v>
      </c>
      <c r="G66" s="53">
        <f>IF(COUNTA(C66)=1,(PSN!$E66+(PSN!$D66/60))/1440, "")</f>
        <v>3.7268518518518514E-3</v>
      </c>
      <c r="H66" s="53">
        <f>IF(COUNTA(C66)=1,AVERAGE($G$2:G67), "")</f>
        <v>4.0132225028058346E-3</v>
      </c>
      <c r="I66" s="34">
        <f>IF(COUNTA(C66)=1,((PSN!$E66)+(PSN!$D66/60))/1440, "")</f>
        <v>3.7268518518518514E-3</v>
      </c>
      <c r="J66" s="23">
        <f>AVERAGE($I$2:I66)</f>
        <v>4.017628205128204E-3</v>
      </c>
      <c r="K66" s="23">
        <f t="shared" ref="K66:K97" si="10">_xlfn.MINIFS(I:I,B:B,"&gt;="&amp;EOMONTH(B66,-1)+1,B:B,"&lt;="&amp;EOMONTH(B66,0))</f>
        <v>3.6342592592592594E-3</v>
      </c>
      <c r="L66" s="23">
        <f t="shared" ref="L66:L97" si="11">_xlfn.MAXIFS(I:I,B:B,"&gt;="&amp;EOMONTH(B66,-1)+1,B:B,"&lt;="&amp;EOMONTH(B66,0))</f>
        <v>4.0972222222222226E-3</v>
      </c>
      <c r="M66" s="59"/>
      <c r="N66" s="59"/>
    </row>
    <row r="67" spans="1:14" x14ac:dyDescent="0.25">
      <c r="A67" s="30">
        <v>66</v>
      </c>
      <c r="B67" s="36">
        <v>46039</v>
      </c>
      <c r="C67" s="29">
        <v>522</v>
      </c>
      <c r="D67" s="30">
        <f t="shared" si="5"/>
        <v>22</v>
      </c>
      <c r="E67" s="30">
        <f t="shared" si="8"/>
        <v>5</v>
      </c>
      <c r="F67" s="30" t="str">
        <f t="shared" si="9"/>
        <v>January</v>
      </c>
      <c r="G67" s="52">
        <f>IF(COUNTA(C67)=1,(PSN!$E67+(PSN!$D67/60))/1440, "")</f>
        <v>3.7268518518518514E-3</v>
      </c>
      <c r="H67" s="52">
        <f>IF(COUNTA(C67)=1,AVERAGE($G$2:G68), "")</f>
        <v>4.0113667772249846E-3</v>
      </c>
      <c r="I67" s="31">
        <f>IF(COUNTA(C67)=1,((PSN!$E67)+(PSN!$D67/60))/1440, "")</f>
        <v>3.7268518518518514E-3</v>
      </c>
      <c r="J67" s="23">
        <f>AVERAGE($I$2:I67)</f>
        <v>4.0132225028058346E-3</v>
      </c>
      <c r="K67" s="23">
        <f t="shared" si="10"/>
        <v>3.6342592592592594E-3</v>
      </c>
      <c r="L67" s="23">
        <f t="shared" si="11"/>
        <v>4.0972222222222226E-3</v>
      </c>
      <c r="M67" s="59"/>
      <c r="N67" s="59"/>
    </row>
    <row r="68" spans="1:14" x14ac:dyDescent="0.25">
      <c r="A68" s="33">
        <v>67</v>
      </c>
      <c r="B68" s="35">
        <v>46042</v>
      </c>
      <c r="C68" s="32">
        <v>536</v>
      </c>
      <c r="D68" s="33">
        <f t="shared" si="5"/>
        <v>36</v>
      </c>
      <c r="E68" s="33">
        <f t="shared" si="8"/>
        <v>5</v>
      </c>
      <c r="F68" s="33" t="str">
        <f t="shared" si="9"/>
        <v>January</v>
      </c>
      <c r="G68" s="53">
        <f>IF(COUNTA(C68)=1,(PSN!$E68+(PSN!$D68/60))/1440, "")</f>
        <v>3.8888888888888888E-3</v>
      </c>
      <c r="H68" s="53">
        <f>IF(COUNTA(C68)=1,AVERAGE($G$2:G69), "")</f>
        <v>4.0070125272331147E-3</v>
      </c>
      <c r="I68" s="34">
        <f>IF(COUNTA(C68)=1,((PSN!$E68)+(PSN!$D68/60))/1440, "")</f>
        <v>3.8888888888888888E-3</v>
      </c>
      <c r="J68" s="23">
        <f>AVERAGE($I$2:I68)</f>
        <v>4.0113667772249846E-3</v>
      </c>
      <c r="K68" s="23">
        <f t="shared" si="10"/>
        <v>3.6342592592592594E-3</v>
      </c>
      <c r="L68" s="23">
        <f t="shared" si="11"/>
        <v>4.0972222222222226E-3</v>
      </c>
      <c r="M68" s="59"/>
      <c r="N68" s="59"/>
    </row>
    <row r="69" spans="1:14" x14ac:dyDescent="0.25">
      <c r="A69" s="30">
        <v>68</v>
      </c>
      <c r="B69" s="36">
        <v>46043</v>
      </c>
      <c r="C69" s="29">
        <v>521</v>
      </c>
      <c r="D69" s="30">
        <f t="shared" si="5"/>
        <v>21</v>
      </c>
      <c r="E69" s="30">
        <f t="shared" si="8"/>
        <v>5</v>
      </c>
      <c r="F69" s="30" t="str">
        <f t="shared" si="9"/>
        <v>January</v>
      </c>
      <c r="G69" s="52">
        <f>IF(COUNTA(C69)=1,(PSN!$E69+(PSN!$D69/60))/1440, "")</f>
        <v>3.7152777777777774E-3</v>
      </c>
      <c r="H69" s="52">
        <f>IF(COUNTA(C69)=1,AVERAGE($G$2:G70), "")</f>
        <v>4.0071457326892098E-3</v>
      </c>
      <c r="I69" s="31">
        <f>IF(COUNTA(C69)=1,((PSN!$E69)+(PSN!$D69/60))/1440, "")</f>
        <v>3.7152777777777774E-3</v>
      </c>
      <c r="J69" s="23">
        <f>AVERAGE($I$2:I69)</f>
        <v>4.0070125272331147E-3</v>
      </c>
      <c r="K69" s="23">
        <f t="shared" si="10"/>
        <v>3.6342592592592594E-3</v>
      </c>
      <c r="L69" s="23">
        <f t="shared" si="11"/>
        <v>4.0972222222222226E-3</v>
      </c>
      <c r="M69" s="59"/>
      <c r="N69" s="59"/>
    </row>
    <row r="70" spans="1:14" x14ac:dyDescent="0.25">
      <c r="A70" s="33">
        <v>69</v>
      </c>
      <c r="B70" s="35">
        <v>46044</v>
      </c>
      <c r="C70" s="32">
        <v>547</v>
      </c>
      <c r="D70" s="33">
        <f t="shared" si="5"/>
        <v>47</v>
      </c>
      <c r="E70" s="33">
        <f t="shared" si="8"/>
        <v>5</v>
      </c>
      <c r="F70" s="33" t="str">
        <f t="shared" si="9"/>
        <v>January</v>
      </c>
      <c r="G70" s="53">
        <f>IF(COUNTA(C70)=1,(PSN!$E70+(PSN!$D70/60))/1440, "")</f>
        <v>4.0162037037037033E-3</v>
      </c>
      <c r="H70" s="53">
        <f>IF(COUNTA(C70)=1,AVERAGE($G$2:G71), "")</f>
        <v>4.0036375661375648E-3</v>
      </c>
      <c r="I70" s="34">
        <f>IF(COUNTA(C70)=1,((PSN!$E70)+(PSN!$D70/60))/1440, "")</f>
        <v>4.0162037037037033E-3</v>
      </c>
      <c r="J70" s="23">
        <f>AVERAGE($I$2:I70)</f>
        <v>4.0071457326892098E-3</v>
      </c>
      <c r="K70" s="23">
        <f t="shared" si="10"/>
        <v>3.6342592592592594E-3</v>
      </c>
      <c r="L70" s="23">
        <f t="shared" si="11"/>
        <v>4.0972222222222226E-3</v>
      </c>
      <c r="M70" s="59"/>
      <c r="N70" s="59"/>
    </row>
    <row r="71" spans="1:14" x14ac:dyDescent="0.25">
      <c r="A71" s="30">
        <v>70</v>
      </c>
      <c r="B71" s="36">
        <v>46045</v>
      </c>
      <c r="C71" s="29">
        <v>525</v>
      </c>
      <c r="D71" s="30">
        <f t="shared" si="5"/>
        <v>25</v>
      </c>
      <c r="E71" s="30">
        <f t="shared" si="8"/>
        <v>5</v>
      </c>
      <c r="F71" s="30" t="str">
        <f t="shared" si="9"/>
        <v>January</v>
      </c>
      <c r="G71" s="52">
        <f>IF(COUNTA(C71)=1,(PSN!$E71+(PSN!$D71/60))/1440, "")</f>
        <v>3.7615740740740743E-3</v>
      </c>
      <c r="H71" s="52">
        <f>IF(COUNTA(C71)=1,AVERAGE($G$2:G72), "")</f>
        <v>4.00088028169014E-3</v>
      </c>
      <c r="I71" s="31">
        <f>IF(COUNTA(C71)=1,((PSN!$E71)+(PSN!$D71/60))/1440, "")</f>
        <v>3.7615740740740743E-3</v>
      </c>
      <c r="J71" s="23">
        <f>AVERAGE($I$2:I71)</f>
        <v>4.0036375661375648E-3</v>
      </c>
      <c r="K71" s="23">
        <f t="shared" si="10"/>
        <v>3.6342592592592594E-3</v>
      </c>
      <c r="L71" s="23">
        <f t="shared" si="11"/>
        <v>4.0972222222222226E-3</v>
      </c>
      <c r="M71" s="59"/>
      <c r="N71" s="59"/>
    </row>
    <row r="72" spans="1:14" x14ac:dyDescent="0.25">
      <c r="A72" s="33">
        <v>71</v>
      </c>
      <c r="B72" s="35">
        <v>46046</v>
      </c>
      <c r="C72" s="32">
        <v>529</v>
      </c>
      <c r="D72" s="33">
        <f t="shared" si="5"/>
        <v>29</v>
      </c>
      <c r="E72" s="33">
        <f t="shared" si="8"/>
        <v>5</v>
      </c>
      <c r="F72" s="33" t="str">
        <f t="shared" si="9"/>
        <v>January</v>
      </c>
      <c r="G72" s="53">
        <f>IF(COUNTA(C72)=1,(PSN!$E72+(PSN!$D72/60))/1440, "")</f>
        <v>3.8078703703703703E-3</v>
      </c>
      <c r="H72" s="53">
        <f>IF(COUNTA(C72)=1,AVERAGE($G$2:G73), "")</f>
        <v>3.9964313271604931E-3</v>
      </c>
      <c r="I72" s="34">
        <f>IF(COUNTA(C72)=1,((PSN!$E72)+(PSN!$D72/60))/1440, "")</f>
        <v>3.8078703703703703E-3</v>
      </c>
      <c r="J72" s="23">
        <f>AVERAGE($I$2:I72)</f>
        <v>4.00088028169014E-3</v>
      </c>
      <c r="K72" s="23">
        <f t="shared" si="10"/>
        <v>3.6342592592592594E-3</v>
      </c>
      <c r="L72" s="23">
        <f t="shared" si="11"/>
        <v>4.0972222222222226E-3</v>
      </c>
      <c r="M72" s="59"/>
      <c r="N72" s="59"/>
    </row>
    <row r="73" spans="1:14" x14ac:dyDescent="0.25">
      <c r="A73" s="30">
        <v>72</v>
      </c>
      <c r="B73" s="36">
        <v>46047</v>
      </c>
      <c r="C73" s="29">
        <v>518</v>
      </c>
      <c r="D73" s="30">
        <f t="shared" si="5"/>
        <v>18</v>
      </c>
      <c r="E73" s="30">
        <f t="shared" si="8"/>
        <v>5</v>
      </c>
      <c r="F73" s="30" t="str">
        <f t="shared" si="9"/>
        <v>January</v>
      </c>
      <c r="G73" s="52">
        <f>IF(COUNTA(C73)=1,(PSN!$E73+(PSN!$D73/60))/1440, "")</f>
        <v>3.6805555555555554E-3</v>
      </c>
      <c r="H73" s="52">
        <f>IF(COUNTA(C73)=1,AVERAGE($G$2:G74), "")</f>
        <v>3.9955923389142561E-3</v>
      </c>
      <c r="I73" s="31">
        <f>IF(COUNTA(C73)=1,((PSN!$E73)+(PSN!$D73/60))/1440, "")</f>
        <v>3.6805555555555554E-3</v>
      </c>
      <c r="J73" s="23">
        <f>AVERAGE($I$2:I73)</f>
        <v>3.9964313271604931E-3</v>
      </c>
      <c r="K73" s="23">
        <f t="shared" si="10"/>
        <v>3.6342592592592594E-3</v>
      </c>
      <c r="L73" s="23">
        <f t="shared" si="11"/>
        <v>4.0972222222222226E-3</v>
      </c>
      <c r="M73" s="59"/>
      <c r="N73" s="59"/>
    </row>
    <row r="74" spans="1:14" x14ac:dyDescent="0.25">
      <c r="A74" s="33">
        <v>73</v>
      </c>
      <c r="B74" s="35">
        <v>46049</v>
      </c>
      <c r="C74" s="32">
        <v>540</v>
      </c>
      <c r="D74" s="33">
        <f t="shared" si="5"/>
        <v>40</v>
      </c>
      <c r="E74" s="33">
        <f t="shared" si="8"/>
        <v>5</v>
      </c>
      <c r="F74" s="33" t="str">
        <f t="shared" si="9"/>
        <v>January</v>
      </c>
      <c r="G74" s="53">
        <f>IF(COUNTA(C74)=1,(PSN!$E74+(PSN!$D74/60))/1440, "")</f>
        <v>3.9351851851851857E-3</v>
      </c>
      <c r="H74" s="53">
        <f>IF(COUNTA(C74)=1,AVERAGE($G$2:G75), "")</f>
        <v>3.9907094594594595E-3</v>
      </c>
      <c r="I74" s="34">
        <f>IF(COUNTA(C74)=1,((PSN!$E74)+(PSN!$D74/60))/1440, "")</f>
        <v>3.9351851851851857E-3</v>
      </c>
      <c r="J74" s="23">
        <f>AVERAGE($I$2:I74)</f>
        <v>3.9955923389142561E-3</v>
      </c>
      <c r="K74" s="23">
        <f t="shared" si="10"/>
        <v>3.6342592592592594E-3</v>
      </c>
      <c r="L74" s="23">
        <f t="shared" si="11"/>
        <v>4.0972222222222226E-3</v>
      </c>
      <c r="M74" s="59"/>
      <c r="N74" s="59"/>
    </row>
    <row r="75" spans="1:14" x14ac:dyDescent="0.25">
      <c r="A75" s="30">
        <v>74</v>
      </c>
      <c r="B75" s="36">
        <v>46051</v>
      </c>
      <c r="C75" s="29">
        <v>514</v>
      </c>
      <c r="D75" s="30">
        <f t="shared" si="5"/>
        <v>14</v>
      </c>
      <c r="E75" s="30">
        <f t="shared" si="8"/>
        <v>5</v>
      </c>
      <c r="F75" s="30" t="str">
        <f t="shared" si="9"/>
        <v>January</v>
      </c>
      <c r="G75" s="52">
        <f>IF(COUNTA(C75)=1,(PSN!$E75+(PSN!$D75/60))/1440, "")</f>
        <v>3.6342592592592594E-3</v>
      </c>
      <c r="H75" s="52">
        <f>IF(COUNTA(C75)=1,AVERAGE($G$2:G76), "")</f>
        <v>3.9887345679012346E-3</v>
      </c>
      <c r="I75" s="31">
        <f>IF(COUNTA(C75)=1,((PSN!$E75)+(PSN!$D75/60))/1440, "")</f>
        <v>3.6342592592592594E-3</v>
      </c>
      <c r="J75" s="23">
        <f>AVERAGE($I$2:I75)</f>
        <v>3.9907094594594595E-3</v>
      </c>
      <c r="K75" s="23">
        <f t="shared" si="10"/>
        <v>3.6342592592592594E-3</v>
      </c>
      <c r="L75" s="23">
        <f t="shared" si="11"/>
        <v>4.0972222222222226E-3</v>
      </c>
      <c r="M75" s="59"/>
      <c r="N75" s="59"/>
    </row>
    <row r="76" spans="1:14" x14ac:dyDescent="0.25">
      <c r="A76" s="33">
        <v>75</v>
      </c>
      <c r="B76" s="35">
        <v>46052</v>
      </c>
      <c r="C76" s="32">
        <v>532</v>
      </c>
      <c r="D76" s="33">
        <f t="shared" si="5"/>
        <v>32</v>
      </c>
      <c r="E76" s="33">
        <f t="shared" si="8"/>
        <v>5</v>
      </c>
      <c r="F76" s="33" t="str">
        <f t="shared" si="9"/>
        <v>January</v>
      </c>
      <c r="G76" s="53">
        <f>IF(COUNTA(C76)=1,(PSN!$E76+(PSN!$D76/60))/1440, "")</f>
        <v>3.8425925925925923E-3</v>
      </c>
      <c r="H76" s="53">
        <f>IF(COUNTA(C76)=1,AVERAGE($G$2:G77), "")</f>
        <v>3.9860501949317735E-3</v>
      </c>
      <c r="I76" s="34">
        <f>IF(COUNTA(C76)=1,((PSN!$E76)+(PSN!$D76/60))/1440, "")</f>
        <v>3.8425925925925923E-3</v>
      </c>
      <c r="J76" s="23">
        <f>AVERAGE($I$2:I76)</f>
        <v>3.9887345679012346E-3</v>
      </c>
      <c r="K76" s="23">
        <f t="shared" si="10"/>
        <v>3.6342592592592594E-3</v>
      </c>
      <c r="L76" s="23">
        <f t="shared" si="11"/>
        <v>4.0972222222222226E-3</v>
      </c>
      <c r="M76" s="59"/>
      <c r="N76" s="59"/>
    </row>
    <row r="77" spans="1:14" x14ac:dyDescent="0.25">
      <c r="A77" s="30">
        <v>76</v>
      </c>
      <c r="B77" s="36">
        <v>46058</v>
      </c>
      <c r="C77" s="29">
        <v>527</v>
      </c>
      <c r="D77" s="30">
        <f t="shared" si="5"/>
        <v>27</v>
      </c>
      <c r="E77" s="30">
        <f t="shared" si="8"/>
        <v>5</v>
      </c>
      <c r="F77" s="30" t="str">
        <f t="shared" si="9"/>
        <v>February</v>
      </c>
      <c r="G77" s="52">
        <f>IF(COUNTA(C77)=1,(PSN!$E77+(PSN!$D77/60))/1440, "")</f>
        <v>3.7847222222222223E-3</v>
      </c>
      <c r="H77" s="52">
        <f>IF(COUNTA(C77)=1,AVERAGE($G$2:G78), "")</f>
        <v>3.9840367965367964E-3</v>
      </c>
      <c r="I77" s="31">
        <f>IF(COUNTA(C77)=1,((PSN!$E77)+(PSN!$D77/60))/1440, "")</f>
        <v>3.7847222222222223E-3</v>
      </c>
      <c r="J77" s="23">
        <f>AVERAGE($I$2:I77)</f>
        <v>3.9860501949317735E-3</v>
      </c>
      <c r="K77" s="23">
        <f t="shared" si="10"/>
        <v>3.414351851851852E-3</v>
      </c>
      <c r="L77" s="23">
        <f t="shared" si="11"/>
        <v>4.1898148148148146E-3</v>
      </c>
      <c r="M77" s="59"/>
      <c r="N77" s="59"/>
    </row>
    <row r="78" spans="1:14" x14ac:dyDescent="0.25">
      <c r="A78" s="33">
        <v>77</v>
      </c>
      <c r="B78" s="35">
        <v>46061</v>
      </c>
      <c r="C78" s="32">
        <v>531</v>
      </c>
      <c r="D78" s="33">
        <f t="shared" si="5"/>
        <v>31</v>
      </c>
      <c r="E78" s="33">
        <f t="shared" si="8"/>
        <v>5</v>
      </c>
      <c r="F78" s="33" t="str">
        <f t="shared" si="9"/>
        <v>February</v>
      </c>
      <c r="G78" s="53">
        <f>IF(COUNTA(C78)=1,(PSN!$E78+(PSN!$D78/60))/1440, "")</f>
        <v>3.8310185185185183E-3</v>
      </c>
      <c r="H78" s="53">
        <f>IF(COUNTA(C78)=1,AVERAGE($G$2:G79), "")</f>
        <v>3.9816298670465339E-3</v>
      </c>
      <c r="I78" s="34">
        <f>IF(COUNTA(C78)=1,((PSN!$E78)+(PSN!$D78/60))/1440, "")</f>
        <v>3.8310185185185183E-3</v>
      </c>
      <c r="J78" s="23">
        <f>AVERAGE($I$2:I78)</f>
        <v>3.9840367965367964E-3</v>
      </c>
      <c r="K78" s="23">
        <f t="shared" si="10"/>
        <v>3.414351851851852E-3</v>
      </c>
      <c r="L78" s="23">
        <f t="shared" si="11"/>
        <v>4.1898148148148146E-3</v>
      </c>
      <c r="M78" s="59"/>
      <c r="N78" s="59"/>
    </row>
    <row r="79" spans="1:14" x14ac:dyDescent="0.25">
      <c r="A79" s="30">
        <v>78</v>
      </c>
      <c r="B79" s="36">
        <v>46062</v>
      </c>
      <c r="C79" s="29">
        <v>528</v>
      </c>
      <c r="D79" s="30">
        <f t="shared" si="5"/>
        <v>28</v>
      </c>
      <c r="E79" s="30">
        <f t="shared" si="8"/>
        <v>5</v>
      </c>
      <c r="F79" s="30" t="str">
        <f t="shared" si="9"/>
        <v>February</v>
      </c>
      <c r="G79" s="52">
        <f>IF(COUNTA(C79)=1,(PSN!$E79+(PSN!$D79/60))/1440, "")</f>
        <v>3.7962962962962963E-3</v>
      </c>
      <c r="H79" s="52">
        <f>IF(COUNTA(C79)=1,AVERAGE($G$2:G80), "")</f>
        <v>3.9773792780121893E-3</v>
      </c>
      <c r="I79" s="31">
        <f>IF(COUNTA(C79)=1,((PSN!$E79)+(PSN!$D79/60))/1440, "")</f>
        <v>3.7962962962962963E-3</v>
      </c>
      <c r="J79" s="23">
        <f>AVERAGE($I$2:I79)</f>
        <v>3.9816298670465339E-3</v>
      </c>
      <c r="K79" s="23">
        <f t="shared" si="10"/>
        <v>3.414351851851852E-3</v>
      </c>
      <c r="L79" s="23">
        <f t="shared" si="11"/>
        <v>4.1898148148148146E-3</v>
      </c>
      <c r="M79" s="59"/>
      <c r="N79" s="59"/>
    </row>
    <row r="80" spans="1:14" x14ac:dyDescent="0.25">
      <c r="A80" s="33">
        <v>79</v>
      </c>
      <c r="B80" s="35">
        <v>46063</v>
      </c>
      <c r="C80" s="32">
        <v>515</v>
      </c>
      <c r="D80" s="33">
        <f t="shared" si="5"/>
        <v>15</v>
      </c>
      <c r="E80" s="33">
        <f t="shared" si="8"/>
        <v>5</v>
      </c>
      <c r="F80" s="33" t="str">
        <f t="shared" si="9"/>
        <v>February</v>
      </c>
      <c r="G80" s="53">
        <f>IF(COUNTA(C80)=1,(PSN!$E80+(PSN!$D80/60))/1440, "")</f>
        <v>3.6458333333333334E-3</v>
      </c>
      <c r="H80" s="53">
        <f>IF(COUNTA(C80)=1,AVERAGE($G$2:G81), "")</f>
        <v>3.9733796296296297E-3</v>
      </c>
      <c r="I80" s="34">
        <f>IF(COUNTA(C80)=1,((PSN!$E80)+(PSN!$D80/60))/1440, "")</f>
        <v>3.6458333333333334E-3</v>
      </c>
      <c r="J80" s="23">
        <f>AVERAGE($I$2:I80)</f>
        <v>3.9773792780121893E-3</v>
      </c>
      <c r="K80" s="23">
        <f t="shared" si="10"/>
        <v>3.414351851851852E-3</v>
      </c>
      <c r="L80" s="23">
        <f t="shared" si="11"/>
        <v>4.1898148148148146E-3</v>
      </c>
      <c r="M80" s="59"/>
      <c r="N80" s="59"/>
    </row>
    <row r="81" spans="1:14" x14ac:dyDescent="0.25">
      <c r="A81" s="30">
        <v>80</v>
      </c>
      <c r="B81" s="36">
        <v>46064</v>
      </c>
      <c r="C81" s="29">
        <v>516</v>
      </c>
      <c r="D81" s="30">
        <f t="shared" si="5"/>
        <v>16</v>
      </c>
      <c r="E81" s="30">
        <f t="shared" si="8"/>
        <v>5</v>
      </c>
      <c r="F81" s="30" t="str">
        <f t="shared" si="9"/>
        <v>February</v>
      </c>
      <c r="G81" s="52">
        <f>IF(COUNTA(C81)=1,(PSN!$E81+(PSN!$D81/60))/1440, "")</f>
        <v>3.6574074074074074E-3</v>
      </c>
      <c r="H81" s="52">
        <f>IF(COUNTA(C81)=1,AVERAGE($G$2:G82), "")</f>
        <v>3.9706218564243253E-3</v>
      </c>
      <c r="I81" s="31">
        <f>IF(COUNTA(C81)=1,((PSN!$E81)+(PSN!$D81/60))/1440, "")</f>
        <v>3.6574074074074074E-3</v>
      </c>
      <c r="J81" s="23">
        <f>AVERAGE($I$2:I81)</f>
        <v>3.9733796296296297E-3</v>
      </c>
      <c r="K81" s="23">
        <f t="shared" si="10"/>
        <v>3.414351851851852E-3</v>
      </c>
      <c r="L81" s="23">
        <f t="shared" si="11"/>
        <v>4.1898148148148146E-3</v>
      </c>
      <c r="M81" s="59"/>
      <c r="N81" s="59"/>
    </row>
    <row r="82" spans="1:14" x14ac:dyDescent="0.25">
      <c r="A82" s="33">
        <v>81</v>
      </c>
      <c r="B82" s="35">
        <v>46065</v>
      </c>
      <c r="C82" s="32">
        <v>524</v>
      </c>
      <c r="D82" s="33">
        <f t="shared" si="5"/>
        <v>24</v>
      </c>
      <c r="E82" s="33">
        <f t="shared" si="8"/>
        <v>5</v>
      </c>
      <c r="F82" s="33" t="str">
        <f t="shared" si="9"/>
        <v>February</v>
      </c>
      <c r="G82" s="53">
        <f>IF(COUNTA(C82)=1,(PSN!$E82+(PSN!$D82/60))/1440, "")</f>
        <v>3.7500000000000003E-3</v>
      </c>
      <c r="H82" s="53">
        <f>IF(COUNTA(C82)=1,AVERAGE($G$2:G83), "")</f>
        <v>3.965955284552845E-3</v>
      </c>
      <c r="I82" s="34">
        <f>IF(COUNTA(C82)=1,((PSN!$E82)+(PSN!$D82/60))/1440, "")</f>
        <v>3.7500000000000003E-3</v>
      </c>
      <c r="J82" s="23">
        <f>AVERAGE($I$2:I82)</f>
        <v>3.9706218564243253E-3</v>
      </c>
      <c r="K82" s="23">
        <f t="shared" si="10"/>
        <v>3.414351851851852E-3</v>
      </c>
      <c r="L82" s="23">
        <f t="shared" si="11"/>
        <v>4.1898148148148146E-3</v>
      </c>
      <c r="M82" s="59"/>
      <c r="N82" s="59"/>
    </row>
    <row r="83" spans="1:14" x14ac:dyDescent="0.25">
      <c r="A83" s="30">
        <v>82</v>
      </c>
      <c r="B83" s="36">
        <v>46066</v>
      </c>
      <c r="C83" s="29">
        <v>510</v>
      </c>
      <c r="D83" s="30">
        <f t="shared" si="5"/>
        <v>10</v>
      </c>
      <c r="E83" s="30">
        <f t="shared" si="8"/>
        <v>5</v>
      </c>
      <c r="F83" s="30" t="str">
        <f t="shared" si="9"/>
        <v>February</v>
      </c>
      <c r="G83" s="52">
        <f>IF(COUNTA(C83)=1,(PSN!$E83+(PSN!$D83/60))/1440, "")</f>
        <v>3.5879629629629634E-3</v>
      </c>
      <c r="H83" s="52">
        <f>IF(COUNTA(C83)=1,AVERAGE($G$2:G84), "")</f>
        <v>3.9633534136546177E-3</v>
      </c>
      <c r="I83" s="31">
        <f>IF(COUNTA(C83)=1,((PSN!$E83)+(PSN!$D83/60))/1440, "")</f>
        <v>3.5879629629629634E-3</v>
      </c>
      <c r="J83" s="23">
        <f>AVERAGE($I$2:I83)</f>
        <v>3.965955284552845E-3</v>
      </c>
      <c r="K83" s="23">
        <f t="shared" si="10"/>
        <v>3.414351851851852E-3</v>
      </c>
      <c r="L83" s="23">
        <f t="shared" si="11"/>
        <v>4.1898148148148146E-3</v>
      </c>
      <c r="M83" s="59"/>
      <c r="N83" s="59"/>
    </row>
    <row r="84" spans="1:14" x14ac:dyDescent="0.25">
      <c r="A84" s="33">
        <v>83</v>
      </c>
      <c r="B84" s="35">
        <v>46067</v>
      </c>
      <c r="C84" s="32">
        <v>524</v>
      </c>
      <c r="D84" s="33">
        <f t="shared" si="5"/>
        <v>24</v>
      </c>
      <c r="E84" s="33">
        <f t="shared" si="8"/>
        <v>5</v>
      </c>
      <c r="F84" s="33" t="str">
        <f t="shared" si="9"/>
        <v>February</v>
      </c>
      <c r="G84" s="53">
        <f>IF(COUNTA(C84)=1,(PSN!$E84+(PSN!$D84/60))/1440, "")</f>
        <v>3.7500000000000003E-3</v>
      </c>
      <c r="H84" s="53">
        <f>IF(COUNTA(C84)=1,AVERAGE($G$2:G85), "")</f>
        <v>3.9615024250440915E-3</v>
      </c>
      <c r="I84" s="34">
        <f>IF(COUNTA(C84)=1,((PSN!$E84)+(PSN!$D84/60))/1440, "")</f>
        <v>3.7500000000000003E-3</v>
      </c>
      <c r="J84" s="23">
        <f>AVERAGE($I$2:I84)</f>
        <v>3.9633534136546177E-3</v>
      </c>
      <c r="K84" s="23">
        <f t="shared" si="10"/>
        <v>3.414351851851852E-3</v>
      </c>
      <c r="L84" s="23">
        <f t="shared" si="11"/>
        <v>4.1898148148148146E-3</v>
      </c>
      <c r="M84" s="59"/>
      <c r="N84" s="59"/>
    </row>
    <row r="85" spans="1:14" x14ac:dyDescent="0.25">
      <c r="A85" s="30">
        <v>84</v>
      </c>
      <c r="B85" s="36">
        <v>46068</v>
      </c>
      <c r="C85" s="29">
        <v>529</v>
      </c>
      <c r="D85" s="30">
        <f t="shared" si="5"/>
        <v>29</v>
      </c>
      <c r="E85" s="30">
        <f t="shared" si="8"/>
        <v>5</v>
      </c>
      <c r="F85" s="30" t="str">
        <f t="shared" si="9"/>
        <v>February</v>
      </c>
      <c r="G85" s="52">
        <f>IF(COUNTA(C85)=1,(PSN!$E85+(PSN!$D85/60))/1440, "")</f>
        <v>3.8078703703703703E-3</v>
      </c>
      <c r="H85" s="52">
        <f>IF(COUNTA(C85)=1,AVERAGE($G$2:G86), "")</f>
        <v>3.9641884531590411E-3</v>
      </c>
      <c r="I85" s="31">
        <f>IF(COUNTA(C85)=1,((PSN!$E85)+(PSN!$D85/60))/1440, "")</f>
        <v>3.8078703703703703E-3</v>
      </c>
      <c r="J85" s="23">
        <f>AVERAGE($I$2:I85)</f>
        <v>3.9615024250440915E-3</v>
      </c>
      <c r="K85" s="23">
        <f t="shared" si="10"/>
        <v>3.414351851851852E-3</v>
      </c>
      <c r="L85" s="23">
        <f t="shared" si="11"/>
        <v>4.1898148148148146E-3</v>
      </c>
      <c r="M85" s="59"/>
      <c r="N85" s="59"/>
    </row>
    <row r="86" spans="1:14" x14ac:dyDescent="0.25">
      <c r="A86" s="33">
        <v>85</v>
      </c>
      <c r="B86" s="35">
        <v>46069</v>
      </c>
      <c r="C86" s="32">
        <v>602</v>
      </c>
      <c r="D86" s="33">
        <f t="shared" si="5"/>
        <v>2</v>
      </c>
      <c r="E86" s="33">
        <f t="shared" si="8"/>
        <v>6</v>
      </c>
      <c r="F86" s="33" t="str">
        <f t="shared" si="9"/>
        <v>February</v>
      </c>
      <c r="G86" s="53">
        <f>IF(COUNTA(C86)=1,(PSN!$E86+(PSN!$D86/60))/1440, "")</f>
        <v>4.1898148148148146E-3</v>
      </c>
      <c r="H86" s="53">
        <f>IF(COUNTA(C86)=1,AVERAGE($G$2:G87), "")</f>
        <v>3.9616978897502155E-3</v>
      </c>
      <c r="I86" s="34">
        <f>IF(COUNTA(C86)=1,((PSN!$E86)+(PSN!$D86/60))/1440, "")</f>
        <v>4.1898148148148146E-3</v>
      </c>
      <c r="J86" s="23">
        <f>AVERAGE($I$2:I86)</f>
        <v>3.9641884531590411E-3</v>
      </c>
      <c r="K86" s="23">
        <f t="shared" si="10"/>
        <v>3.414351851851852E-3</v>
      </c>
      <c r="L86" s="23">
        <f t="shared" si="11"/>
        <v>4.1898148148148146E-3</v>
      </c>
      <c r="M86" s="59"/>
      <c r="N86" s="59"/>
    </row>
    <row r="87" spans="1:14" x14ac:dyDescent="0.25">
      <c r="A87" s="30">
        <v>86</v>
      </c>
      <c r="B87" s="36">
        <v>46070</v>
      </c>
      <c r="C87" s="29">
        <v>524</v>
      </c>
      <c r="D87" s="30">
        <f t="shared" ref="D87:D93" si="12">VALUE(RIGHT(C87, 2))</f>
        <v>24</v>
      </c>
      <c r="E87" s="30">
        <f t="shared" si="8"/>
        <v>5</v>
      </c>
      <c r="F87" s="30" t="str">
        <f t="shared" si="9"/>
        <v>February</v>
      </c>
      <c r="G87" s="52">
        <f>IF(COUNTA(C87)=1,(PSN!$E87+(PSN!$D87/60))/1440, "")</f>
        <v>3.7500000000000003E-3</v>
      </c>
      <c r="H87" s="52">
        <f>IF(COUNTA(C87)=1,AVERAGE($G$2:G88), "")</f>
        <v>3.9554065559812687E-3</v>
      </c>
      <c r="I87" s="31">
        <f>IF(COUNTA(C87)=1,((PSN!$E87)+(PSN!$D87/60))/1440, "")</f>
        <v>3.7500000000000003E-3</v>
      </c>
      <c r="J87" s="23">
        <f>AVERAGE($I$2:I87)</f>
        <v>3.9616978897502155E-3</v>
      </c>
      <c r="K87" s="23">
        <f t="shared" si="10"/>
        <v>3.414351851851852E-3</v>
      </c>
      <c r="L87" s="23">
        <f t="shared" si="11"/>
        <v>4.1898148148148146E-3</v>
      </c>
      <c r="M87" s="59"/>
      <c r="N87" s="59"/>
    </row>
    <row r="88" spans="1:14" x14ac:dyDescent="0.25">
      <c r="A88" s="33">
        <v>87</v>
      </c>
      <c r="B88" s="35">
        <v>46071</v>
      </c>
      <c r="C88" s="32">
        <v>455</v>
      </c>
      <c r="D88" s="33">
        <f t="shared" si="12"/>
        <v>55</v>
      </c>
      <c r="E88" s="33">
        <f t="shared" si="8"/>
        <v>4</v>
      </c>
      <c r="F88" s="33" t="str">
        <f t="shared" si="9"/>
        <v>February</v>
      </c>
      <c r="G88" s="53">
        <f>IF(COUNTA(C88)=1,(PSN!$E88+(PSN!$D88/60))/1440, "")</f>
        <v>3.414351851851852E-3</v>
      </c>
      <c r="H88" s="53">
        <f>IF(COUNTA(C88)=1,AVERAGE($G$2:G89), "")</f>
        <v>3.9566235269360272E-3</v>
      </c>
      <c r="I88" s="34">
        <f>IF(COUNTA(C88)=1,((PSN!$E88)+(PSN!$D88/60))/1440, "")</f>
        <v>3.414351851851852E-3</v>
      </c>
      <c r="J88" s="23">
        <f>AVERAGE($I$2:I88)</f>
        <v>3.9554065559812687E-3</v>
      </c>
      <c r="K88" s="23">
        <f t="shared" si="10"/>
        <v>3.414351851851852E-3</v>
      </c>
      <c r="L88" s="23">
        <f t="shared" si="11"/>
        <v>4.1898148148148146E-3</v>
      </c>
      <c r="M88" s="59"/>
      <c r="N88" s="59"/>
    </row>
    <row r="89" spans="1:14" x14ac:dyDescent="0.25">
      <c r="A89" s="30">
        <v>88</v>
      </c>
      <c r="B89" s="36">
        <v>46083</v>
      </c>
      <c r="C89" s="29">
        <v>551</v>
      </c>
      <c r="D89" s="30">
        <f t="shared" si="12"/>
        <v>51</v>
      </c>
      <c r="E89" s="30">
        <f t="shared" si="8"/>
        <v>5</v>
      </c>
      <c r="F89" s="30" t="str">
        <f t="shared" si="9"/>
        <v>March</v>
      </c>
      <c r="G89" s="52">
        <f>IF(COUNTA(C89)=1,(PSN!$E89+(PSN!$D89/60))/1440, "")</f>
        <v>4.0625000000000001E-3</v>
      </c>
      <c r="H89" s="52">
        <f>IF(COUNTA(C89)=1,AVERAGE($G$2:G90), "")</f>
        <v>3.9559925093632965E-3</v>
      </c>
      <c r="I89" s="31">
        <f>IF(COUNTA(C89)=1,((PSN!$E89)+(PSN!$D89/60))/1440, "")</f>
        <v>4.0625000000000001E-3</v>
      </c>
      <c r="J89" s="23">
        <f>AVERAGE($I$2:I89)</f>
        <v>3.9566235269360272E-3</v>
      </c>
      <c r="K89" s="23">
        <f t="shared" si="10"/>
        <v>3.3912037037037036E-3</v>
      </c>
      <c r="L89" s="23">
        <f t="shared" si="11"/>
        <v>4.3749999999999995E-3</v>
      </c>
      <c r="M89" s="59"/>
      <c r="N89" s="59"/>
    </row>
    <row r="90" spans="1:14" x14ac:dyDescent="0.25">
      <c r="A90" s="33">
        <v>89</v>
      </c>
      <c r="B90" s="35">
        <v>46084</v>
      </c>
      <c r="C90" s="32">
        <v>537</v>
      </c>
      <c r="D90" s="33">
        <f t="shared" si="12"/>
        <v>37</v>
      </c>
      <c r="E90" s="33">
        <f t="shared" si="8"/>
        <v>5</v>
      </c>
      <c r="F90" s="33" t="str">
        <f t="shared" si="9"/>
        <v>March</v>
      </c>
      <c r="G90" s="53">
        <f>IF(COUNTA(C90)=1,(PSN!$E90+(PSN!$D90/60))/1440, "")</f>
        <v>3.9004629629629632E-3</v>
      </c>
      <c r="H90" s="53">
        <f>IF(COUNTA(C90)=1,AVERAGE($G$2:G91), "")</f>
        <v>3.9539609053497946E-3</v>
      </c>
      <c r="I90" s="34">
        <f>IF(COUNTA(C90)=1,((PSN!$E90)+(PSN!$D90/60))/1440, "")</f>
        <v>3.9004629629629632E-3</v>
      </c>
      <c r="J90" s="23">
        <f>AVERAGE($I$2:I90)</f>
        <v>3.9559925093632965E-3</v>
      </c>
      <c r="K90" s="23">
        <f t="shared" si="10"/>
        <v>3.3912037037037036E-3</v>
      </c>
      <c r="L90" s="23">
        <f t="shared" si="11"/>
        <v>4.3749999999999995E-3</v>
      </c>
      <c r="M90" s="59"/>
      <c r="N90" s="59"/>
    </row>
    <row r="91" spans="1:14" x14ac:dyDescent="0.25">
      <c r="A91" s="30">
        <v>90</v>
      </c>
      <c r="B91" s="36">
        <v>46087</v>
      </c>
      <c r="C91" s="29">
        <v>526</v>
      </c>
      <c r="D91" s="30">
        <f t="shared" si="12"/>
        <v>26</v>
      </c>
      <c r="E91" s="30">
        <f t="shared" si="8"/>
        <v>5</v>
      </c>
      <c r="F91" s="30" t="str">
        <f t="shared" si="9"/>
        <v>March</v>
      </c>
      <c r="G91" s="52">
        <f>IF(COUNTA(C91)=1,(PSN!$E91+(PSN!$D91/60))/1440, "")</f>
        <v>3.7731481481481483E-3</v>
      </c>
      <c r="H91" s="52">
        <f>IF(COUNTA(C91)=1,AVERAGE($G$2:G92), "")</f>
        <v>3.9559167684167689E-3</v>
      </c>
      <c r="I91" s="31">
        <f>IF(COUNTA(C91)=1,((PSN!$E91)+(PSN!$D91/60))/1440, "")</f>
        <v>3.7731481481481483E-3</v>
      </c>
      <c r="J91" s="23">
        <f>AVERAGE($I$2:I91)</f>
        <v>3.9539609053497946E-3</v>
      </c>
      <c r="K91" s="23">
        <f t="shared" si="10"/>
        <v>3.3912037037037036E-3</v>
      </c>
      <c r="L91" s="23">
        <f t="shared" si="11"/>
        <v>4.3749999999999995E-3</v>
      </c>
      <c r="M91" s="59"/>
      <c r="N91" s="59"/>
    </row>
    <row r="92" spans="1:14" x14ac:dyDescent="0.25">
      <c r="A92" s="33">
        <v>91</v>
      </c>
      <c r="B92" s="35">
        <v>46088</v>
      </c>
      <c r="C92" s="32">
        <v>557</v>
      </c>
      <c r="D92" s="33">
        <f t="shared" si="12"/>
        <v>57</v>
      </c>
      <c r="E92" s="33">
        <f t="shared" si="8"/>
        <v>5</v>
      </c>
      <c r="F92" s="33" t="str">
        <f t="shared" si="9"/>
        <v>March</v>
      </c>
      <c r="G92" s="53">
        <f>IF(COUNTA(C92)=1,(PSN!$E92+(PSN!$D92/60))/1440, "")</f>
        <v>4.1319444444444442E-3</v>
      </c>
      <c r="H92" s="53">
        <f>IF(COUNTA(C92)=1,AVERAGE($G$2:G93), "")</f>
        <v>3.9556914251207735E-3</v>
      </c>
      <c r="I92" s="34">
        <f>IF(COUNTA(C92)=1,((PSN!$E92)+(PSN!$D92/60))/1440, "")</f>
        <v>4.1319444444444442E-3</v>
      </c>
      <c r="J92" s="23">
        <f>AVERAGE($I$2:I92)</f>
        <v>3.9559167684167689E-3</v>
      </c>
      <c r="K92" s="23">
        <f t="shared" si="10"/>
        <v>3.3912037037037036E-3</v>
      </c>
      <c r="L92" s="23">
        <f t="shared" si="11"/>
        <v>4.3749999999999995E-3</v>
      </c>
      <c r="M92" s="59"/>
      <c r="N92" s="59"/>
    </row>
    <row r="93" spans="1:14" x14ac:dyDescent="0.25">
      <c r="A93" s="30">
        <v>92</v>
      </c>
      <c r="B93" s="36">
        <v>46089</v>
      </c>
      <c r="C93" s="29">
        <v>540</v>
      </c>
      <c r="D93" s="30">
        <f t="shared" si="12"/>
        <v>40</v>
      </c>
      <c r="E93" s="30">
        <f t="shared" si="8"/>
        <v>5</v>
      </c>
      <c r="F93" s="30" t="str">
        <f t="shared" si="9"/>
        <v>March</v>
      </c>
      <c r="G93" s="52">
        <f>IF(COUNTA(C93)=1,(PSN!$E93+(PSN!$D93/60))/1440, "")</f>
        <v>3.9351851851851857E-3</v>
      </c>
      <c r="H93" s="52">
        <f>IF(COUNTA(C93)=1,AVERAGE($G$2:G94), "")</f>
        <v>3.9536041417761849E-3</v>
      </c>
      <c r="I93" s="31">
        <f>IF(COUNTA(C93)=1,((PSN!$E93)+(PSN!$D93/60))/1440, "")</f>
        <v>3.9351851851851857E-3</v>
      </c>
      <c r="J93" s="23">
        <f>AVERAGE($I$2:I93)</f>
        <v>3.9556914251207735E-3</v>
      </c>
      <c r="K93" s="23">
        <f t="shared" si="10"/>
        <v>3.3912037037037036E-3</v>
      </c>
      <c r="L93" s="23">
        <f t="shared" si="11"/>
        <v>4.3749999999999995E-3</v>
      </c>
      <c r="M93" s="59"/>
      <c r="N93" s="59"/>
    </row>
    <row r="94" spans="1:14" x14ac:dyDescent="0.25">
      <c r="A94" s="30">
        <v>93</v>
      </c>
      <c r="B94" s="36">
        <v>46093</v>
      </c>
      <c r="C94" s="29">
        <v>525</v>
      </c>
      <c r="D94" s="30">
        <f>VALUE(RIGHT(C94, 2))</f>
        <v>25</v>
      </c>
      <c r="E94" s="30">
        <f>VALUE(LEFT(C94,1))</f>
        <v>5</v>
      </c>
      <c r="F94" s="30" t="str">
        <f>IF(COUNTA(B94)=1,TEXT(B94, "mmmm"), "")</f>
        <v>March</v>
      </c>
      <c r="G94" s="52">
        <f>IF(COUNTA(C94)=1,(PSN!$E94+(PSN!$D94/60))/1440, "")</f>
        <v>3.7615740740740743E-3</v>
      </c>
      <c r="H94" s="53">
        <f>IF(COUNTA(C94)=1,AVERAGE($G$2:G95), "")</f>
        <v>3.9516843971631214E-3</v>
      </c>
      <c r="I94" s="31">
        <f>IF(COUNTA(C94)=1,((PSN!$E94)+(PSN!$D94/60))/1440, "")</f>
        <v>3.7615740740740743E-3</v>
      </c>
      <c r="J94" s="23">
        <f>AVERAGE($I$2:I94)</f>
        <v>3.9536041417761849E-3</v>
      </c>
      <c r="K94" s="23">
        <f t="shared" si="10"/>
        <v>3.3912037037037036E-3</v>
      </c>
      <c r="L94" s="23">
        <f t="shared" si="11"/>
        <v>4.3749999999999995E-3</v>
      </c>
      <c r="M94" s="59"/>
      <c r="N94" s="59"/>
    </row>
    <row r="95" spans="1:14" x14ac:dyDescent="0.25">
      <c r="A95" s="33">
        <v>94</v>
      </c>
      <c r="B95" s="36">
        <v>46094</v>
      </c>
      <c r="C95" s="29">
        <v>526</v>
      </c>
      <c r="D95" s="30">
        <f>VALUE(RIGHT(C95, 2))</f>
        <v>26</v>
      </c>
      <c r="E95" s="30">
        <f>VALUE(LEFT(C95,1))</f>
        <v>5</v>
      </c>
      <c r="F95" s="30" t="str">
        <f>IF(COUNTA(B95)=1,TEXT(B95, "mmmm"), "")</f>
        <v>March</v>
      </c>
      <c r="G95" s="52">
        <f>IF(COUNTA(C95)=1,(PSN!$E95+(PSN!$D95/60))/1440, "")</f>
        <v>3.7731481481481483E-3</v>
      </c>
      <c r="H95" s="52">
        <f>IF(COUNTA(C95)=1,AVERAGE($G$2:G96), "")</f>
        <v>3.956140350877194E-3</v>
      </c>
      <c r="I95" s="31">
        <f>IF(COUNTA(C95)=1,((PSN!$E95)+(PSN!$D95/60))/1440, "")</f>
        <v>3.7731481481481483E-3</v>
      </c>
      <c r="J95" s="23">
        <f>AVERAGE($I$2:I95)</f>
        <v>3.9516843971631214E-3</v>
      </c>
      <c r="K95" s="23">
        <f t="shared" si="10"/>
        <v>3.3912037037037036E-3</v>
      </c>
      <c r="L95" s="23">
        <f t="shared" si="11"/>
        <v>4.3749999999999995E-3</v>
      </c>
      <c r="M95" s="59"/>
      <c r="N95" s="59"/>
    </row>
    <row r="96" spans="1:14" x14ac:dyDescent="0.25">
      <c r="A96" s="30">
        <v>95</v>
      </c>
      <c r="B96" s="36">
        <v>46095</v>
      </c>
      <c r="C96" s="29">
        <v>618</v>
      </c>
      <c r="D96" s="30">
        <f t="shared" ref="D96:D98" si="13">VALUE(RIGHT(C96, 2))</f>
        <v>18</v>
      </c>
      <c r="E96" s="30">
        <f t="shared" ref="E96:E98" si="14">VALUE(LEFT(C96,1))</f>
        <v>6</v>
      </c>
      <c r="F96" s="30" t="str">
        <f t="shared" ref="F96:F98" si="15">IF(COUNTA(B96)=1,TEXT(B96, "mmmm"), "")</f>
        <v>March</v>
      </c>
      <c r="G96" s="52">
        <f>IF(COUNTA(C96)=1,(PSN!$E96+(PSN!$D96/60))/1440, "")</f>
        <v>4.3749999999999995E-3</v>
      </c>
      <c r="H96" s="52">
        <f>IF(COUNTA(C96)=1,AVERAGE($G$2:G97), "")</f>
        <v>3.9576099537037045E-3</v>
      </c>
      <c r="I96" s="31">
        <f>IF(COUNTA(C96)=1,((PSN!$E96)+(PSN!$D96/60))/1440, "")</f>
        <v>4.3749999999999995E-3</v>
      </c>
      <c r="J96" s="23">
        <f>AVERAGE($I$2:I96)</f>
        <v>3.956140350877194E-3</v>
      </c>
      <c r="K96" s="23">
        <f t="shared" si="10"/>
        <v>3.3912037037037036E-3</v>
      </c>
      <c r="L96" s="23">
        <f t="shared" si="11"/>
        <v>4.3749999999999995E-3</v>
      </c>
      <c r="M96" s="59"/>
      <c r="N96" s="59"/>
    </row>
    <row r="97" spans="1:14" x14ac:dyDescent="0.25">
      <c r="A97" s="30">
        <v>96</v>
      </c>
      <c r="B97" s="36">
        <v>46097</v>
      </c>
      <c r="C97" s="42">
        <v>554</v>
      </c>
      <c r="D97" s="41">
        <f t="shared" si="13"/>
        <v>54</v>
      </c>
      <c r="E97" s="41">
        <f t="shared" si="14"/>
        <v>5</v>
      </c>
      <c r="F97" s="41" t="str">
        <f t="shared" si="15"/>
        <v>March</v>
      </c>
      <c r="G97" s="54">
        <f>IF(COUNTA(C97)=1,(PSN!$E97+(PSN!$D97/60))/1440, "")</f>
        <v>4.0972222222222226E-3</v>
      </c>
      <c r="H97" s="54">
        <f>IF(COUNTA(C97)=1,AVERAGE($G$2:G98), "")</f>
        <v>3.9588106147384504E-3</v>
      </c>
      <c r="I97" s="43">
        <f>IF(COUNTA(C97)=1,((PSN!$E97)+(PSN!$D97/60))/1440, "")</f>
        <v>4.0972222222222226E-3</v>
      </c>
      <c r="J97" s="23">
        <f>AVERAGE($I$2:I97)</f>
        <v>3.9576099537037045E-3</v>
      </c>
      <c r="K97" s="23">
        <f t="shared" si="10"/>
        <v>3.3912037037037036E-3</v>
      </c>
      <c r="L97" s="23">
        <f t="shared" si="11"/>
        <v>4.3749999999999995E-3</v>
      </c>
      <c r="M97" s="59"/>
      <c r="N97" s="59"/>
    </row>
    <row r="98" spans="1:14" x14ac:dyDescent="0.25">
      <c r="A98" s="33">
        <v>97</v>
      </c>
      <c r="B98" s="36">
        <v>46098</v>
      </c>
      <c r="C98" s="42">
        <v>552</v>
      </c>
      <c r="D98" s="41">
        <f t="shared" si="13"/>
        <v>52</v>
      </c>
      <c r="E98" s="41">
        <f t="shared" si="14"/>
        <v>5</v>
      </c>
      <c r="F98" s="41" t="str">
        <f t="shared" si="15"/>
        <v>March</v>
      </c>
      <c r="G98" s="54">
        <f>IF(COUNTA(C98)=1,(PSN!$E98+(PSN!$D98/60))/1440, "")</f>
        <v>4.0740740740740746E-3</v>
      </c>
      <c r="H98" s="54">
        <f>IF(COUNTA(C98)=1,AVERAGE($G$2:G99), "")</f>
        <v>3.9551445578231295E-3</v>
      </c>
      <c r="I98" s="43">
        <f>IF(COUNTA(C98)=1,((PSN!$E98)+(PSN!$D98/60))/1440, "")</f>
        <v>4.0740740740740746E-3</v>
      </c>
      <c r="J98" s="23">
        <f>AVERAGE($I$2:I98)</f>
        <v>3.9588106147384504E-3</v>
      </c>
      <c r="K98" s="23">
        <f t="shared" ref="K98:K112" si="16">_xlfn.MINIFS(I:I,B:B,"&gt;="&amp;EOMONTH(B98,-1)+1,B:B,"&lt;="&amp;EOMONTH(B98,0))</f>
        <v>3.3912037037037036E-3</v>
      </c>
      <c r="L98" s="23">
        <f t="shared" ref="L98:L112" si="17">_xlfn.MAXIFS(I:I,B:B,"&gt;="&amp;EOMONTH(B98,-1)+1,B:B,"&lt;="&amp;EOMONTH(B98,0))</f>
        <v>4.3749999999999995E-3</v>
      </c>
      <c r="M98" s="59"/>
      <c r="N98" s="59"/>
    </row>
    <row r="99" spans="1:14" x14ac:dyDescent="0.25">
      <c r="A99" s="30">
        <v>98</v>
      </c>
      <c r="B99" s="36">
        <v>46102</v>
      </c>
      <c r="C99" s="29">
        <v>511</v>
      </c>
      <c r="D99" s="30">
        <f>VALUE(RIGHT(C99, 2))</f>
        <v>11</v>
      </c>
      <c r="E99" s="30">
        <f>VALUE(LEFT(C99,1))</f>
        <v>5</v>
      </c>
      <c r="F99" s="30" t="str">
        <f>IF(COUNTA(B99)=1,TEXT(B99, "mmmm"), "")</f>
        <v>March</v>
      </c>
      <c r="G99" s="52">
        <f>IF(COUNTA(C99)=1,(PSN!$E99+(PSN!$D99/60))/1440, "")</f>
        <v>3.5995370370370374E-3</v>
      </c>
      <c r="H99" s="52">
        <f>IF(COUNTA(C99)=1,AVERAGE($G$2:G100), "")</f>
        <v>3.9494481855592975E-3</v>
      </c>
      <c r="I99" s="31">
        <f>IF(COUNTA(C99)=1,((PSN!$E99)+(PSN!$D99/60))/1440, "")</f>
        <v>3.5995370370370374E-3</v>
      </c>
      <c r="J99" s="23">
        <f>AVERAGE($I$2:I99)</f>
        <v>3.9551445578231295E-3</v>
      </c>
      <c r="K99" s="23">
        <f t="shared" si="16"/>
        <v>3.3912037037037036E-3</v>
      </c>
      <c r="L99" s="23">
        <f t="shared" si="17"/>
        <v>4.3749999999999995E-3</v>
      </c>
      <c r="M99" s="59"/>
      <c r="N99" s="59"/>
    </row>
    <row r="100" spans="1:14" x14ac:dyDescent="0.25">
      <c r="A100" s="33">
        <v>99</v>
      </c>
      <c r="B100" s="36">
        <v>46103</v>
      </c>
      <c r="C100" s="29">
        <v>453</v>
      </c>
      <c r="D100" s="30">
        <f>VALUE(RIGHT(C100, 2))</f>
        <v>53</v>
      </c>
      <c r="E100" s="30">
        <f>VALUE(LEFT(C100,1))</f>
        <v>4</v>
      </c>
      <c r="F100" s="30" t="str">
        <f>IF(COUNTA(B100)=1,TEXT(B100, "mmmm"), "")</f>
        <v>March</v>
      </c>
      <c r="G100" s="52">
        <f>IF(COUNTA(C100)=1,(PSN!$E100+(PSN!$D100/60))/1440, "")</f>
        <v>3.3912037037037036E-3</v>
      </c>
      <c r="H100" s="52">
        <f>IF(COUNTA(C100)=1,AVERAGE($G$2:G101), "")</f>
        <v>3.9464120370370373E-3</v>
      </c>
      <c r="I100" s="31">
        <f>IF(COUNTA(C100)=1,((PSN!$E100)+(PSN!$D100/60))/1440, "")</f>
        <v>3.3912037037037036E-3</v>
      </c>
      <c r="J100" s="23">
        <f>AVERAGE($I$2:I100)</f>
        <v>3.9494481855592975E-3</v>
      </c>
      <c r="K100" s="23">
        <f t="shared" si="16"/>
        <v>3.3912037037037036E-3</v>
      </c>
      <c r="L100" s="23">
        <f t="shared" si="17"/>
        <v>4.3749999999999995E-3</v>
      </c>
      <c r="M100" s="59"/>
      <c r="N100" s="59"/>
    </row>
    <row r="101" spans="1:14" x14ac:dyDescent="0.25">
      <c r="A101" s="30">
        <v>100</v>
      </c>
      <c r="B101" s="36">
        <v>46105</v>
      </c>
      <c r="C101" s="29">
        <v>515</v>
      </c>
      <c r="D101" s="30">
        <f t="shared" ref="D101:D103" si="18">VALUE(RIGHT(C101, 2))</f>
        <v>15</v>
      </c>
      <c r="E101" s="30">
        <f t="shared" ref="E101:E103" si="19">VALUE(LEFT(C101,1))</f>
        <v>5</v>
      </c>
      <c r="F101" s="30" t="str">
        <f t="shared" ref="F101:F103" si="20">IF(COUNTA(B101)=1,TEXT(B101, "mmmm"), "")</f>
        <v>March</v>
      </c>
      <c r="G101" s="52">
        <f>IF(COUNTA(C101)=1,(PSN!$E101+(PSN!$D101/60))/1440, "")</f>
        <v>3.6458333333333334E-3</v>
      </c>
      <c r="H101" s="52">
        <f>IF(COUNTA(C101)=1,AVERAGE($G$2:G102), "")</f>
        <v>3.9444673634030075E-3</v>
      </c>
      <c r="I101" s="43">
        <f>IF(COUNTA(C101)=1,((PSN!$E101)+(PSN!$D101/60))/1440, "")</f>
        <v>3.6458333333333334E-3</v>
      </c>
      <c r="J101" s="23">
        <f>AVERAGE($I$2:I101)</f>
        <v>3.9464120370370373E-3</v>
      </c>
      <c r="K101" s="23">
        <f t="shared" si="16"/>
        <v>3.3912037037037036E-3</v>
      </c>
      <c r="L101" s="23">
        <f t="shared" si="17"/>
        <v>4.3749999999999995E-3</v>
      </c>
      <c r="M101" s="59"/>
      <c r="N101" s="59"/>
    </row>
    <row r="102" spans="1:14" x14ac:dyDescent="0.25">
      <c r="A102" s="33">
        <v>101</v>
      </c>
      <c r="B102" s="46">
        <v>46106</v>
      </c>
      <c r="C102" s="42">
        <v>524</v>
      </c>
      <c r="D102" s="41">
        <f t="shared" si="18"/>
        <v>24</v>
      </c>
      <c r="E102" s="41">
        <f t="shared" si="19"/>
        <v>5</v>
      </c>
      <c r="F102" s="41" t="str">
        <f t="shared" si="20"/>
        <v>March</v>
      </c>
      <c r="G102" s="54">
        <f>IF(COUNTA(C102)=1,(PSN!$E102+(PSN!$D102/60))/1440, "")</f>
        <v>3.7500000000000003E-3</v>
      </c>
      <c r="H102" s="54">
        <f>IF(COUNTA(C102)=1,AVERAGE($G$2:G103), "")</f>
        <v>3.9416530501089325E-3</v>
      </c>
      <c r="I102" s="43">
        <f>IF(COUNTA(C102)=1,((PSN!$E102)+(PSN!$D102/60))/1440, "")</f>
        <v>3.7500000000000003E-3</v>
      </c>
      <c r="J102" s="23">
        <f>AVERAGE($I$2:I102)</f>
        <v>3.9444673634030075E-3</v>
      </c>
      <c r="K102" s="23">
        <f t="shared" si="16"/>
        <v>3.3912037037037036E-3</v>
      </c>
      <c r="L102" s="23">
        <f t="shared" si="17"/>
        <v>4.3749999999999995E-3</v>
      </c>
      <c r="M102" s="59"/>
      <c r="N102" s="59"/>
    </row>
    <row r="103" spans="1:14" x14ac:dyDescent="0.25">
      <c r="A103" s="30">
        <v>102</v>
      </c>
      <c r="B103" s="46">
        <v>46107</v>
      </c>
      <c r="C103" s="42">
        <v>516</v>
      </c>
      <c r="D103" s="41">
        <f t="shared" si="18"/>
        <v>16</v>
      </c>
      <c r="E103" s="41">
        <f t="shared" si="19"/>
        <v>5</v>
      </c>
      <c r="F103" s="41" t="str">
        <f t="shared" si="20"/>
        <v>March</v>
      </c>
      <c r="G103" s="54">
        <f>IF(COUNTA(C103)=1,(PSN!$E103+(PSN!$D103/60))/1440, "")</f>
        <v>3.6574074074074074E-3</v>
      </c>
      <c r="H103" s="52">
        <f>IF(COUNTA(C103)=1,AVERAGE($G$2:G104), "")</f>
        <v>3.9391181229773463E-3</v>
      </c>
      <c r="I103" s="31">
        <f>IF(COUNTA(C103)=1,((PSN!$E103)+(PSN!$D103/60))/1440, "")</f>
        <v>3.6574074074074074E-3</v>
      </c>
      <c r="J103" s="23">
        <f>AVERAGE($I$2:I103)</f>
        <v>3.9416530501089325E-3</v>
      </c>
      <c r="K103" s="23">
        <f t="shared" si="16"/>
        <v>3.3912037037037036E-3</v>
      </c>
      <c r="L103" s="23">
        <f t="shared" si="17"/>
        <v>4.3749999999999995E-3</v>
      </c>
      <c r="M103" s="59"/>
      <c r="N103" s="59"/>
    </row>
    <row r="104" spans="1:14" x14ac:dyDescent="0.25">
      <c r="A104" s="33">
        <v>103</v>
      </c>
      <c r="B104" s="46">
        <v>46108</v>
      </c>
      <c r="C104" s="29">
        <v>518</v>
      </c>
      <c r="D104" s="30">
        <f t="shared" ref="D104" si="21">VALUE(RIGHT(C104, 2))</f>
        <v>18</v>
      </c>
      <c r="E104" s="30">
        <f t="shared" ref="E104" si="22">VALUE(LEFT(C104,1))</f>
        <v>5</v>
      </c>
      <c r="F104" s="30" t="str">
        <f t="shared" ref="F104" si="23">IF(COUNTA(B104)=1,TEXT(B104, "mmmm"), "")</f>
        <v>March</v>
      </c>
      <c r="G104" s="52">
        <f>IF(COUNTA(C104)=1,(PSN!$E104+(PSN!$D104/60))/1440, "")</f>
        <v>3.6805555555555554E-3</v>
      </c>
      <c r="H104" s="52">
        <f>IF(COUNTA(C104)=1,AVERAGE($G$2:G105), "")</f>
        <v>3.9394141737891736E-3</v>
      </c>
      <c r="I104" s="31">
        <f>IF(COUNTA(C104)=1,((PSN!$E104)+(PSN!$D104/60))/1440, "")</f>
        <v>3.6805555555555554E-3</v>
      </c>
      <c r="J104" s="23">
        <f>AVERAGE($I$2:I104)</f>
        <v>3.9391181229773463E-3</v>
      </c>
      <c r="K104" s="23">
        <f t="shared" si="16"/>
        <v>3.3912037037037036E-3</v>
      </c>
      <c r="L104" s="23">
        <f t="shared" si="17"/>
        <v>4.3749999999999995E-3</v>
      </c>
      <c r="M104" s="59"/>
      <c r="N104" s="59"/>
    </row>
    <row r="105" spans="1:14" x14ac:dyDescent="0.25">
      <c r="A105" s="33">
        <v>104</v>
      </c>
      <c r="B105" s="46">
        <v>46109</v>
      </c>
      <c r="C105" s="29">
        <v>543</v>
      </c>
      <c r="D105" s="30">
        <f t="shared" ref="D105:D106" si="24">VALUE(RIGHT(C105, 2))</f>
        <v>43</v>
      </c>
      <c r="E105" s="30">
        <f t="shared" ref="E105:E106" si="25">VALUE(LEFT(C105,1))</f>
        <v>5</v>
      </c>
      <c r="F105" s="30" t="str">
        <f t="shared" ref="F105:F106" si="26">IF(COUNTA(B105)=1,TEXT(B105, "mmmm"), "")</f>
        <v>March</v>
      </c>
      <c r="G105" s="52">
        <f>IF(COUNTA(C105)=1,(PSN!$E105+(PSN!$D105/60))/1440, "")</f>
        <v>3.9699074074074072E-3</v>
      </c>
      <c r="H105" s="52">
        <f>IF(COUNTA(C105)=1,AVERAGE($G$2:G106), "")</f>
        <v>3.9372795414462083E-3</v>
      </c>
      <c r="I105" s="43">
        <f>IF(COUNTA(C105)=1,((PSN!$E105)+(PSN!$D105/60))/1440, "")</f>
        <v>3.9699074074074072E-3</v>
      </c>
      <c r="J105" s="23">
        <f>AVERAGE($I$2:I105)</f>
        <v>3.9394141737891736E-3</v>
      </c>
      <c r="K105" s="23">
        <f t="shared" si="16"/>
        <v>3.3912037037037036E-3</v>
      </c>
      <c r="L105" s="23">
        <f t="shared" si="17"/>
        <v>4.3749999999999995E-3</v>
      </c>
      <c r="M105" s="59"/>
      <c r="N105" s="59"/>
    </row>
    <row r="106" spans="1:14" x14ac:dyDescent="0.25">
      <c r="A106" s="30">
        <v>105</v>
      </c>
      <c r="B106" s="46">
        <v>46110</v>
      </c>
      <c r="C106" s="42">
        <v>521</v>
      </c>
      <c r="D106" s="41">
        <f t="shared" si="24"/>
        <v>21</v>
      </c>
      <c r="E106" s="41">
        <f t="shared" si="25"/>
        <v>5</v>
      </c>
      <c r="F106" s="41" t="str">
        <f t="shared" si="26"/>
        <v>March</v>
      </c>
      <c r="G106" s="54">
        <f>IF(COUNTA(C106)=1,(PSN!$E106+(PSN!$D106/60))/1440, "")</f>
        <v>3.7152777777777774E-3</v>
      </c>
      <c r="H106" s="52">
        <f>IF(COUNTA(C106)=1,AVERAGE($G$2:G107), "")</f>
        <v>3.9347484276729561E-3</v>
      </c>
      <c r="I106" s="43">
        <f>IF(COUNTA(C106)=1,((PSN!$E106)+(PSN!$D106/60))/1440, "")</f>
        <v>3.7152777777777774E-3</v>
      </c>
      <c r="J106" s="23">
        <f>AVERAGE($I$2:I106)</f>
        <v>3.9372795414462083E-3</v>
      </c>
      <c r="K106" s="23">
        <f t="shared" si="16"/>
        <v>3.3912037037037036E-3</v>
      </c>
      <c r="L106" s="23">
        <f t="shared" si="17"/>
        <v>4.3749999999999995E-3</v>
      </c>
      <c r="M106" s="59"/>
      <c r="N106" s="59"/>
    </row>
    <row r="107" spans="1:14" x14ac:dyDescent="0.25">
      <c r="A107" s="33">
        <v>106</v>
      </c>
      <c r="B107" s="46">
        <v>46112</v>
      </c>
      <c r="C107" s="29">
        <v>517</v>
      </c>
      <c r="D107" s="30">
        <f t="shared" ref="D107" si="27">VALUE(RIGHT(C107, 2))</f>
        <v>17</v>
      </c>
      <c r="E107" s="30">
        <f t="shared" ref="E107" si="28">VALUE(LEFT(C107,1))</f>
        <v>5</v>
      </c>
      <c r="F107" s="30" t="str">
        <f t="shared" ref="F107" si="29">IF(COUNTA(B107)=1,TEXT(B107, "mmmm"), "")</f>
        <v>March</v>
      </c>
      <c r="G107" s="52">
        <f>IF(COUNTA(C107)=1,(PSN!$E107+(PSN!$D107/60))/1440, "")</f>
        <v>3.6689814814814814E-3</v>
      </c>
      <c r="H107" s="52">
        <f>IF(COUNTA(C107)=1,AVERAGE($G$2:G108), "")</f>
        <v>3.9336708203530635E-3</v>
      </c>
      <c r="I107" s="43">
        <f>IF(COUNTA(C107)=1,((PSN!$E107)+(PSN!$D107/60))/1440, "")</f>
        <v>3.6689814814814814E-3</v>
      </c>
      <c r="J107" s="23">
        <f>AVERAGE($I$2:I107)</f>
        <v>3.9347484276729561E-3</v>
      </c>
      <c r="K107" s="23">
        <f t="shared" si="16"/>
        <v>3.3912037037037036E-3</v>
      </c>
      <c r="L107" s="23">
        <f t="shared" si="17"/>
        <v>4.3749999999999995E-3</v>
      </c>
      <c r="M107" s="59"/>
      <c r="N107" s="59"/>
    </row>
    <row r="108" spans="1:14" x14ac:dyDescent="0.25">
      <c r="A108" s="30">
        <v>107</v>
      </c>
      <c r="B108" s="46">
        <v>46113</v>
      </c>
      <c r="C108" s="29">
        <v>530</v>
      </c>
      <c r="D108" s="30">
        <f t="shared" ref="D108:D113" si="30">VALUE(RIGHT(C108, 2))</f>
        <v>30</v>
      </c>
      <c r="E108" s="30">
        <f t="shared" ref="E108:E113" si="31">VALUE(LEFT(C108,1))</f>
        <v>5</v>
      </c>
      <c r="F108" s="30" t="str">
        <f t="shared" ref="F108:F113" si="32">IF(COUNTA(B108)=1,TEXT(B108, "mmmm"), "")</f>
        <v>April</v>
      </c>
      <c r="G108" s="52">
        <f>IF(COUNTA(C108)=1,(PSN!$E108+(PSN!$D108/60))/1440, "")</f>
        <v>3.8194444444444443E-3</v>
      </c>
      <c r="H108" s="52">
        <f>IF(COUNTA(C108)=1,AVERAGE($G$2:G109), "")</f>
        <v>3.9351851851851848E-3</v>
      </c>
      <c r="I108" s="43">
        <f>IF(COUNTA(C108)=1,((PSN!$E108)+(PSN!$D108/60))/1440, "")</f>
        <v>3.8194444444444443E-3</v>
      </c>
      <c r="J108" s="23">
        <f>AVERAGE($I$2:I108)</f>
        <v>3.9336708203530635E-3</v>
      </c>
      <c r="K108" s="23">
        <f t="shared" si="16"/>
        <v>3.425925925925926E-3</v>
      </c>
      <c r="L108" s="23">
        <f t="shared" si="17"/>
        <v>4.0972222222222226E-3</v>
      </c>
      <c r="M108" s="59"/>
      <c r="N108" s="59"/>
    </row>
    <row r="109" spans="1:14" x14ac:dyDescent="0.25">
      <c r="A109" s="33">
        <v>108</v>
      </c>
      <c r="B109" s="46">
        <v>46114</v>
      </c>
      <c r="C109" s="29">
        <v>554</v>
      </c>
      <c r="D109" s="30">
        <f t="shared" si="30"/>
        <v>54</v>
      </c>
      <c r="E109" s="30">
        <f t="shared" si="31"/>
        <v>5</v>
      </c>
      <c r="F109" s="30" t="str">
        <f t="shared" si="32"/>
        <v>April</v>
      </c>
      <c r="G109" s="52">
        <f>IF(COUNTA(C109)=1,(PSN!$E109+(PSN!$D109/60))/1440, "")</f>
        <v>4.0972222222222226E-3</v>
      </c>
      <c r="H109" s="52">
        <f>IF(COUNTA(C109)=1,AVERAGE($G$2:G110), "")</f>
        <v>3.9343357118586482E-3</v>
      </c>
      <c r="I109" s="43">
        <f>IF(COUNTA(C109)=1,((PSN!$E109)+(PSN!$D109/60))/1440, "")</f>
        <v>4.0972222222222226E-3</v>
      </c>
      <c r="J109" s="23">
        <f>AVERAGE($I$2:I109)</f>
        <v>3.9351851851851848E-3</v>
      </c>
      <c r="K109" s="23">
        <f t="shared" si="16"/>
        <v>3.425925925925926E-3</v>
      </c>
      <c r="L109" s="23">
        <f t="shared" si="17"/>
        <v>4.0972222222222226E-3</v>
      </c>
      <c r="M109" s="59"/>
      <c r="N109" s="59"/>
    </row>
    <row r="110" spans="1:14" x14ac:dyDescent="0.25">
      <c r="A110" s="30">
        <v>109</v>
      </c>
      <c r="B110" s="46">
        <v>46115</v>
      </c>
      <c r="C110" s="29">
        <v>532</v>
      </c>
      <c r="D110" s="30">
        <f t="shared" si="30"/>
        <v>32</v>
      </c>
      <c r="E110" s="30">
        <f t="shared" si="31"/>
        <v>5</v>
      </c>
      <c r="F110" s="30" t="str">
        <f t="shared" si="32"/>
        <v>April</v>
      </c>
      <c r="G110" s="52">
        <f>IF(COUNTA(C110)=1,(PSN!$E110+(PSN!$D110/60))/1440, "")</f>
        <v>3.8425925925925923E-3</v>
      </c>
      <c r="H110" s="52">
        <f>IF(COUNTA(C110)=1,AVERAGE($G$2:G111), "")</f>
        <v>3.9313973063973065E-3</v>
      </c>
      <c r="I110" s="43">
        <f>IF(COUNTA(C110)=1,((PSN!$E110)+(PSN!$D110/60))/1440, "")</f>
        <v>3.8425925925925923E-3</v>
      </c>
      <c r="J110" s="23">
        <f>AVERAGE($I$2:I110)</f>
        <v>3.9343357118586482E-3</v>
      </c>
      <c r="K110" s="23">
        <f t="shared" si="16"/>
        <v>3.425925925925926E-3</v>
      </c>
      <c r="L110" s="23">
        <f t="shared" si="17"/>
        <v>4.0972222222222226E-3</v>
      </c>
      <c r="M110" s="59"/>
      <c r="N110" s="59"/>
    </row>
    <row r="111" spans="1:14" x14ac:dyDescent="0.25">
      <c r="A111" s="30">
        <v>110</v>
      </c>
      <c r="B111" s="36">
        <v>46118</v>
      </c>
      <c r="C111" s="29">
        <v>512</v>
      </c>
      <c r="D111" s="30">
        <f t="shared" si="30"/>
        <v>12</v>
      </c>
      <c r="E111" s="30">
        <f t="shared" si="31"/>
        <v>5</v>
      </c>
      <c r="F111" s="30" t="str">
        <f t="shared" si="32"/>
        <v>April</v>
      </c>
      <c r="G111" s="52">
        <f>IF(COUNTA(C111)=1,(PSN!$E111+(PSN!$D111/60))/1440, "")</f>
        <v>3.6111111111111114E-3</v>
      </c>
      <c r="H111" s="52">
        <f>IF(COUNTA(C111)=1,AVERAGE($G$2:G112), "")</f>
        <v>3.9283033033033037E-3</v>
      </c>
      <c r="I111" s="43">
        <f>IF(COUNTA(C111)=1,((PSN!$E111)+(PSN!$D111/60))/1440, "")</f>
        <v>3.6111111111111114E-3</v>
      </c>
      <c r="J111" s="23">
        <f>AVERAGE($I$2:I111)</f>
        <v>3.9313973063973065E-3</v>
      </c>
      <c r="K111" s="23">
        <f t="shared" si="16"/>
        <v>3.425925925925926E-3</v>
      </c>
      <c r="L111" s="23">
        <f t="shared" si="17"/>
        <v>4.0972222222222226E-3</v>
      </c>
      <c r="M111" s="59"/>
      <c r="N111" s="59"/>
    </row>
    <row r="112" spans="1:14" x14ac:dyDescent="0.25">
      <c r="A112" s="30">
        <v>111</v>
      </c>
      <c r="B112" s="36">
        <v>46119</v>
      </c>
      <c r="C112" s="29">
        <v>510</v>
      </c>
      <c r="D112" s="30">
        <f t="shared" si="30"/>
        <v>10</v>
      </c>
      <c r="E112" s="30">
        <f t="shared" si="31"/>
        <v>5</v>
      </c>
      <c r="F112" s="30" t="str">
        <f t="shared" si="32"/>
        <v>April</v>
      </c>
      <c r="G112" s="52">
        <f>IF(COUNTA(C112)=1,(PSN!$E112+(PSN!$D112/60))/1440, "")</f>
        <v>3.5879629629629634E-3</v>
      </c>
      <c r="H112" s="52">
        <f>IF(COUNTA(C112)=1,AVERAGE($G$2:G113), "")</f>
        <v>3.9256779100529104E-3</v>
      </c>
      <c r="I112" s="43">
        <f>IF(COUNTA(C112)=1,((PSN!$E112)+(PSN!$D112/60))/1440, "")</f>
        <v>3.5879629629629634E-3</v>
      </c>
      <c r="J112" s="23">
        <f>AVERAGE($I$2:I112)</f>
        <v>3.9283033033033037E-3</v>
      </c>
      <c r="K112" s="23">
        <f t="shared" si="16"/>
        <v>3.425925925925926E-3</v>
      </c>
      <c r="L112" s="23">
        <f t="shared" si="17"/>
        <v>4.0972222222222226E-3</v>
      </c>
      <c r="M112" s="59"/>
      <c r="N112" s="59"/>
    </row>
    <row r="113" spans="1:14" x14ac:dyDescent="0.25">
      <c r="A113" s="30">
        <v>112</v>
      </c>
      <c r="B113" s="36">
        <v>46120</v>
      </c>
      <c r="C113" s="29">
        <v>514</v>
      </c>
      <c r="D113" s="30">
        <f t="shared" si="30"/>
        <v>14</v>
      </c>
      <c r="E113" s="30">
        <f t="shared" si="31"/>
        <v>5</v>
      </c>
      <c r="F113" s="30" t="str">
        <f t="shared" si="32"/>
        <v>April</v>
      </c>
      <c r="G113" s="52">
        <f>IF(COUNTA(C113)=1,(PSN!$E113+(PSN!$D113/60))/1440, "")</f>
        <v>3.6342592592592594E-3</v>
      </c>
      <c r="H113" s="52">
        <f>IF(COUNTA(C113)=1,AVERAGE($G$2:G114), "")</f>
        <v>3.921869878728286E-3</v>
      </c>
      <c r="I113" s="43">
        <f>IF(COUNTA(C113)=1,((PSN!$E113)+(PSN!$D113/60))/1440, "")</f>
        <v>3.6342592592592594E-3</v>
      </c>
      <c r="J113" s="23">
        <f>AVERAGE($I$2:I113)</f>
        <v>3.9256779100529104E-3</v>
      </c>
      <c r="K113" s="23">
        <f t="shared" ref="K113:K117" si="33">_xlfn.MINIFS(I:I,B:B,"&gt;="&amp;EOMONTH(B113,-1)+1,B:B,"&lt;="&amp;EOMONTH(B113,0))</f>
        <v>3.425925925925926E-3</v>
      </c>
      <c r="L113" s="23">
        <f t="shared" ref="L113:L117" si="34">_xlfn.MAXIFS(I:I,B:B,"&gt;="&amp;EOMONTH(B113,-1)+1,B:B,"&lt;="&amp;EOMONTH(B113,0))</f>
        <v>4.0972222222222226E-3</v>
      </c>
      <c r="M113" s="59"/>
      <c r="N113" s="59"/>
    </row>
    <row r="114" spans="1:14" x14ac:dyDescent="0.25">
      <c r="A114" s="30">
        <v>113</v>
      </c>
      <c r="B114" s="36">
        <v>46121</v>
      </c>
      <c r="C114" s="29">
        <v>502</v>
      </c>
      <c r="D114" s="30">
        <f>VALUE(RIGHT(C114, 2))</f>
        <v>2</v>
      </c>
      <c r="E114" s="30">
        <f>VALUE(LEFT(C114,1))</f>
        <v>5</v>
      </c>
      <c r="F114" s="30" t="str">
        <f>IF(COUNTA(B114)=1,TEXT(B114, "mmmm"), "")</f>
        <v>April</v>
      </c>
      <c r="G114" s="52">
        <f>IF(COUNTA(C114)=1,(PSN!$E114+(PSN!$D114/60))/1440, "")</f>
        <v>3.4953703703703705E-3</v>
      </c>
      <c r="H114" s="52">
        <f>IF(COUNTA(C114)=1,AVERAGE($G$2:G115), "")</f>
        <v>3.9176210201429503E-3</v>
      </c>
      <c r="I114" s="43">
        <f>IF(COUNTA(C114)=1,((PSN!$E114)+(PSN!$D114/60))/1440, "")</f>
        <v>3.4953703703703705E-3</v>
      </c>
      <c r="J114" s="23">
        <f>AVERAGE($I$2:I114)</f>
        <v>3.921869878728286E-3</v>
      </c>
      <c r="K114" s="23">
        <f t="shared" si="33"/>
        <v>3.425925925925926E-3</v>
      </c>
      <c r="L114" s="23">
        <f t="shared" si="34"/>
        <v>4.0972222222222226E-3</v>
      </c>
      <c r="M114" s="59"/>
      <c r="N114" s="59"/>
    </row>
    <row r="115" spans="1:14" x14ac:dyDescent="0.25">
      <c r="A115" s="30">
        <v>114</v>
      </c>
      <c r="B115" s="36">
        <v>46122</v>
      </c>
      <c r="C115" s="29">
        <v>457</v>
      </c>
      <c r="D115" s="30">
        <f>VALUE(RIGHT(C115, 2))</f>
        <v>57</v>
      </c>
      <c r="E115" s="30">
        <f>VALUE(LEFT(C115,1))</f>
        <v>4</v>
      </c>
      <c r="F115" s="30" t="str">
        <f>IF(COUNTA(B115)=1,TEXT(B115, "mmmm"), "")</f>
        <v>April</v>
      </c>
      <c r="G115" s="52">
        <f>IF(COUNTA(C115)=1,(PSN!$E115+(PSN!$D115/60))/1440, "")</f>
        <v>3.4375E-3</v>
      </c>
      <c r="H115" s="52">
        <f>IF(COUNTA(C115)=1,AVERAGE($G$2:G116), "")</f>
        <v>3.9158615136876008E-3</v>
      </c>
      <c r="I115" s="43">
        <f>IF(COUNTA(C115)=1,((PSN!$E115)+(PSN!$D115/60))/1440, "")</f>
        <v>3.4375E-3</v>
      </c>
      <c r="J115" s="23">
        <f>AVERAGE($I$2:I115)</f>
        <v>3.9176210201429503E-3</v>
      </c>
      <c r="K115" s="23">
        <f t="shared" si="33"/>
        <v>3.425925925925926E-3</v>
      </c>
      <c r="L115" s="23">
        <f t="shared" si="34"/>
        <v>4.0972222222222226E-3</v>
      </c>
      <c r="M115" s="59"/>
      <c r="N115" s="59"/>
    </row>
    <row r="116" spans="1:14" x14ac:dyDescent="0.25">
      <c r="A116" s="30">
        <v>115</v>
      </c>
      <c r="B116" s="36">
        <v>46123</v>
      </c>
      <c r="C116" s="29">
        <v>521</v>
      </c>
      <c r="D116" s="30">
        <f>VALUE(RIGHT(C116, 2))</f>
        <v>21</v>
      </c>
      <c r="E116" s="30">
        <f>VALUE(LEFT(C116,1))</f>
        <v>5</v>
      </c>
      <c r="F116" s="30" t="str">
        <f>IF(COUNTA(B116)=1,TEXT(B116, "mmmm"), "")</f>
        <v>April</v>
      </c>
      <c r="G116" s="52">
        <f>IF(COUNTA(C116)=1,(PSN!$E116+(PSN!$D116/60))/1440, "")</f>
        <v>3.7152777777777774E-3</v>
      </c>
      <c r="H116" s="52">
        <f>IF(COUNTA(C116)=1,AVERAGE($G$2:G117), "")</f>
        <v>3.9130348020434231E-3</v>
      </c>
      <c r="I116" s="43">
        <f>IF(COUNTA(C116)=1,((PSN!$E116)+(PSN!$D116/60))/1440, "")</f>
        <v>3.7152777777777774E-3</v>
      </c>
      <c r="J116" s="23">
        <f>AVERAGE($I$2:I116)</f>
        <v>3.9158615136876008E-3</v>
      </c>
      <c r="K116" s="23">
        <f t="shared" si="33"/>
        <v>3.425925925925926E-3</v>
      </c>
      <c r="L116" s="23">
        <f t="shared" si="34"/>
        <v>4.0972222222222226E-3</v>
      </c>
      <c r="M116" s="59"/>
      <c r="N116" s="59"/>
    </row>
    <row r="117" spans="1:14" x14ac:dyDescent="0.25">
      <c r="A117" s="30">
        <v>116</v>
      </c>
      <c r="B117" s="36">
        <v>46124</v>
      </c>
      <c r="C117" s="29">
        <v>510</v>
      </c>
      <c r="D117" s="30">
        <f>VALUE(RIGHT(C117, 2))</f>
        <v>10</v>
      </c>
      <c r="E117" s="30">
        <f>VALUE(LEFT(C117,1))</f>
        <v>5</v>
      </c>
      <c r="F117" s="30" t="str">
        <f>IF(COUNTA(B117)=1,TEXT(B117, "mmmm"), "")</f>
        <v>April</v>
      </c>
      <c r="G117" s="52">
        <f>IF(COUNTA(C117)=1,(PSN!$E117+(PSN!$D117/60))/1440, "")</f>
        <v>3.5879629629629634E-3</v>
      </c>
      <c r="H117" s="52">
        <f>IF(COUNTA(C117)=1,AVERAGE($G$2:G118), "")</f>
        <v>3.9088714783159237E-3</v>
      </c>
      <c r="I117" s="43">
        <f>IF(COUNTA(C117)=1,((PSN!$E117)+(PSN!$D117/60))/1440, "")</f>
        <v>3.5879629629629634E-3</v>
      </c>
      <c r="J117" s="23">
        <f>AVERAGE($I$2:I117)</f>
        <v>3.9130348020434231E-3</v>
      </c>
      <c r="K117" s="23">
        <f t="shared" si="33"/>
        <v>3.425925925925926E-3</v>
      </c>
      <c r="L117" s="23">
        <f t="shared" si="34"/>
        <v>4.0972222222222226E-3</v>
      </c>
      <c r="M117" s="59"/>
      <c r="N117" s="59"/>
    </row>
    <row r="118" spans="1:14" x14ac:dyDescent="0.25">
      <c r="A118" s="30">
        <v>117</v>
      </c>
      <c r="B118" s="36">
        <v>46127</v>
      </c>
      <c r="C118" s="29">
        <v>456</v>
      </c>
      <c r="D118" s="30">
        <f>VALUE(RIGHT(C118, 2))</f>
        <v>56</v>
      </c>
      <c r="E118" s="30">
        <f>VALUE(LEFT(C118,1))</f>
        <v>4</v>
      </c>
      <c r="F118" s="30" t="str">
        <f>IF(COUNTA(B118)=1,TEXT(B118, "mmmm"), "")</f>
        <v>April</v>
      </c>
      <c r="G118" s="52">
        <f>IF(COUNTA(C118)=1,(PSN!$E118+(PSN!$D118/60))/1440, "")</f>
        <v>3.425925925925926E-3</v>
      </c>
      <c r="H118" s="52">
        <f>IF(COUNTA(C118)=1,AVERAGE($G$2:G119), "")</f>
        <v>3.9088714783159237E-3</v>
      </c>
      <c r="I118" s="43">
        <f>IF(COUNTA(C118)=1,((PSN!$E118)+(PSN!$D118/60))/1440, "")</f>
        <v>3.425925925925926E-3</v>
      </c>
      <c r="J118" s="23">
        <f>AVERAGE($I$2:I118)</f>
        <v>3.9088714783159237E-3</v>
      </c>
      <c r="K118" s="23">
        <f t="shared" ref="K118" si="35">_xlfn.MINIFS(I:I,B:B,"&gt;="&amp;EOMONTH(B118,-1)+1,B:B,"&lt;="&amp;EOMONTH(B118,0))</f>
        <v>3.425925925925926E-3</v>
      </c>
      <c r="L118" s="23">
        <f t="shared" ref="L118" si="36">_xlfn.MAXIFS(I:I,B:B,"&gt;="&amp;EOMONTH(B118,-1)+1,B:B,"&lt;="&amp;EOMONTH(B118,0))</f>
        <v>4.0972222222222226E-3</v>
      </c>
      <c r="M118" s="59"/>
      <c r="N118" s="59"/>
    </row>
  </sheetData>
  <phoneticPr fontId="3" type="noConversion"/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A552-C5A5-413A-B6D9-ABFE54480B48}">
  <dimension ref="A1"/>
  <sheetViews>
    <sheetView zoomScale="95" zoomScaleNormal="95" workbookViewId="0">
      <selection activeCell="U16" sqref="U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2679-B7F0-4624-A4C7-19AF6DA0FCF8}">
  <dimension ref="A1"/>
  <sheetViews>
    <sheetView workbookViewId="0">
      <selection activeCell="M15" sqref="M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49"/>
  <sheetViews>
    <sheetView workbookViewId="0">
      <pane ySplit="1" topLeftCell="A105" activePane="bottomLeft" state="frozen"/>
      <selection pane="bottomLeft" activeCell="C119" sqref="C119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6.5703125" style="1" bestFit="1" customWidth="1"/>
    <col min="4" max="4" width="8.5703125" style="1" hidden="1" customWidth="1"/>
    <col min="5" max="5" width="9.28515625" style="1" hidden="1" customWidth="1"/>
    <col min="6" max="6" width="13.28515625" style="1" hidden="1" customWidth="1"/>
    <col min="7" max="7" width="12.42578125" style="1" hidden="1" customWidth="1"/>
    <col min="8" max="8" width="12.7109375" style="1" hidden="1" customWidth="1"/>
    <col min="9" max="9" width="12.5703125" style="1" hidden="1" customWidth="1"/>
    <col min="10" max="10" width="13.42578125" style="1" hidden="1" customWidth="1"/>
    <col min="11" max="11" width="14.28515625" style="1" hidden="1" customWidth="1"/>
    <col min="12" max="12" width="12.85546875" style="1" hidden="1" customWidth="1"/>
    <col min="13" max="13" width="18" style="1" hidden="1" customWidth="1"/>
    <col min="14" max="14" width="17" style="1" bestFit="1" customWidth="1"/>
    <col min="15" max="15" width="27.42578125" style="1" bestFit="1" customWidth="1"/>
    <col min="16" max="16" width="12.28515625" style="1" bestFit="1" customWidth="1"/>
    <col min="17" max="17" width="22.7109375" style="1" bestFit="1" customWidth="1"/>
    <col min="18" max="16384" width="9.140625" style="1"/>
  </cols>
  <sheetData>
    <row r="1" spans="1:17" ht="15.75" x14ac:dyDescent="0.25">
      <c r="A1" s="1" t="s">
        <v>11</v>
      </c>
      <c r="B1" s="1" t="s">
        <v>12</v>
      </c>
      <c r="C1" s="5" t="s">
        <v>37</v>
      </c>
      <c r="D1" s="5" t="s">
        <v>4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39</v>
      </c>
      <c r="P1" s="5" t="s">
        <v>18</v>
      </c>
      <c r="Q1" s="5" t="s">
        <v>38</v>
      </c>
    </row>
    <row r="2" spans="1:17" x14ac:dyDescent="0.25">
      <c r="A2" s="1">
        <v>1</v>
      </c>
      <c r="B2" s="6">
        <v>45964</v>
      </c>
      <c r="C2" s="2">
        <v>615</v>
      </c>
      <c r="D2" s="1">
        <f t="shared" ref="D2:D26" si="0">VALUE(RIGHT(C2, 2))</f>
        <v>15</v>
      </c>
      <c r="E2" s="1">
        <f t="shared" ref="E2:E26" si="1">VALUE(LEFT(C2,1))</f>
        <v>6</v>
      </c>
      <c r="F2" s="1">
        <f>VALUE(LEFT(C2,1))</f>
        <v>6</v>
      </c>
      <c r="G2" s="1">
        <v>0</v>
      </c>
      <c r="H2" s="1">
        <f t="shared" ref="H2:H7" si="2">G2*60</f>
        <v>0</v>
      </c>
      <c r="I2" s="1">
        <f>VALUE(RIGHT(C2,2))</f>
        <v>15</v>
      </c>
      <c r="J2" s="1">
        <f t="shared" ref="J2:J26" si="3">H2+I2</f>
        <v>15</v>
      </c>
      <c r="K2" s="3" cm="1">
        <f t="array" ref="K2">_xlfn.IFS(J2&gt;60, J2-60, J2&lt;60, J2, J2=60, 0)</f>
        <v>15</v>
      </c>
      <c r="L2" s="1">
        <f t="shared" ref="L2:L26" si="4">IF(J2&gt;60, 1 + VALUE(LEFT(F2,1)), VALUE(LEFT(F2,1)))</f>
        <v>6</v>
      </c>
      <c r="M2" s="3">
        <f t="shared" ref="M2:M26" si="5" xml:space="preserve"> VALUE(LEFT(K2,5))</f>
        <v>15</v>
      </c>
      <c r="N2" s="2" t="str">
        <f t="shared" ref="N2:N26" si="6">IF(K2&lt;10, CONCATENATE(L2, ":", 0, M2, " min/km"), CONCATENATE(L2, ":", M2, " min/km"))</f>
        <v>6:15 min/km</v>
      </c>
      <c r="O2" s="1" t="str">
        <f t="shared" ref="O2:O26" si="7">IF(COUNT(C2)=1, N2, "")</f>
        <v>6:15 min/km</v>
      </c>
      <c r="P2" s="1" t="str">
        <f t="shared" ref="P2:P65" si="8">IF(COUNTA(B2)=1,TEXT(B2, "mmmm"), "")</f>
        <v>November</v>
      </c>
      <c r="Q2" s="47">
        <f>IF(COUNTA(C2)=1,(Table1[[#This Row],[min]]+(Table1[[#This Row],[sec]]/60))/1440, "")</f>
        <v>4.340277777777778E-3</v>
      </c>
    </row>
    <row r="3" spans="1:17" x14ac:dyDescent="0.25">
      <c r="A3" s="1">
        <v>2</v>
      </c>
      <c r="B3" s="6">
        <v>45967</v>
      </c>
      <c r="C3" s="1">
        <v>551</v>
      </c>
      <c r="D3" s="1">
        <f t="shared" si="0"/>
        <v>51</v>
      </c>
      <c r="E3" s="1">
        <f t="shared" si="1"/>
        <v>5</v>
      </c>
      <c r="F3" s="1">
        <f>AVERAGE($E$2:E3)</f>
        <v>5.5</v>
      </c>
      <c r="G3" s="1">
        <f>IF(INT(F3)=F3,0,VALUE(MID(F3,2,4)))</f>
        <v>0.5</v>
      </c>
      <c r="H3" s="1">
        <f t="shared" si="2"/>
        <v>30</v>
      </c>
      <c r="I3" s="1">
        <f>AVERAGE($D$2:D3)</f>
        <v>33</v>
      </c>
      <c r="J3" s="1">
        <f t="shared" si="3"/>
        <v>63</v>
      </c>
      <c r="K3" s="3" cm="1">
        <f t="array" ref="K3">_xlfn.IFS(J3&gt;60, J3-60, J3&lt;60, J3, J3=60, 0)</f>
        <v>3</v>
      </c>
      <c r="L3" s="1">
        <f t="shared" si="4"/>
        <v>6</v>
      </c>
      <c r="M3" s="3">
        <f t="shared" si="5"/>
        <v>3</v>
      </c>
      <c r="N3" s="1" t="str">
        <f t="shared" si="6"/>
        <v>6:03 min/km</v>
      </c>
      <c r="O3" s="1" t="str">
        <f t="shared" si="7"/>
        <v>6:03 min/km</v>
      </c>
      <c r="P3" s="1" t="str">
        <f t="shared" si="8"/>
        <v>November</v>
      </c>
      <c r="Q3" s="47">
        <f>IF(COUNTA(C3)=1,(Table1[[#This Row],[min]]+(Table1[[#This Row],[sec]]/60))/1440, "")</f>
        <v>4.0625000000000001E-3</v>
      </c>
    </row>
    <row r="4" spans="1:17" x14ac:dyDescent="0.25">
      <c r="A4" s="1">
        <v>3</v>
      </c>
      <c r="B4" s="6">
        <v>45968</v>
      </c>
      <c r="C4" s="1">
        <v>552</v>
      </c>
      <c r="D4" s="1">
        <f t="shared" si="0"/>
        <v>52</v>
      </c>
      <c r="E4" s="1">
        <f t="shared" si="1"/>
        <v>5</v>
      </c>
      <c r="F4" s="1">
        <f>AVERAGE($E$2:E4)</f>
        <v>5.333333333333333</v>
      </c>
      <c r="G4" s="1">
        <f>IF(INT(F4)=F4,0,VALUE(MID(F4,2,4)))</f>
        <v>0.33300000000000002</v>
      </c>
      <c r="H4" s="1">
        <f t="shared" si="2"/>
        <v>19.98</v>
      </c>
      <c r="I4" s="1">
        <f>AVERAGE($D$2:D4)</f>
        <v>39.333333333333336</v>
      </c>
      <c r="J4" s="1">
        <f t="shared" si="3"/>
        <v>59.313333333333333</v>
      </c>
      <c r="K4" s="4" cm="1">
        <f t="array" ref="K4">_xlfn.IFS(J4&gt;60, J4-60, J4&lt;60, J4, J4=60, 0)</f>
        <v>59.313333333333333</v>
      </c>
      <c r="L4" s="1">
        <f t="shared" si="4"/>
        <v>5</v>
      </c>
      <c r="M4" s="3">
        <f t="shared" si="5"/>
        <v>59.31</v>
      </c>
      <c r="N4" s="1" t="str">
        <f t="shared" si="6"/>
        <v>5:59.31 min/km</v>
      </c>
      <c r="O4" s="1" t="str">
        <f t="shared" si="7"/>
        <v>5:59.31 min/km</v>
      </c>
      <c r="P4" s="1" t="str">
        <f t="shared" si="8"/>
        <v>November</v>
      </c>
      <c r="Q4" s="47">
        <f>IF(COUNTA(C4)=1,(Table1[[#This Row],[min]]+(Table1[[#This Row],[sec]]/60))/1440, "")</f>
        <v>4.0740740740740746E-3</v>
      </c>
    </row>
    <row r="5" spans="1:17" x14ac:dyDescent="0.25">
      <c r="A5" s="1">
        <v>4</v>
      </c>
      <c r="B5" s="6">
        <v>45969</v>
      </c>
      <c r="C5" s="1">
        <v>535</v>
      </c>
      <c r="D5" s="1">
        <f t="shared" si="0"/>
        <v>35</v>
      </c>
      <c r="E5" s="1">
        <f t="shared" si="1"/>
        <v>5</v>
      </c>
      <c r="F5" s="1">
        <f>AVERAGE($E$2:E5)</f>
        <v>5.25</v>
      </c>
      <c r="G5" s="1">
        <f>IF(INT(F5)=F5,0,VALUE(MID(F5,2,4)))</f>
        <v>0.25</v>
      </c>
      <c r="H5" s="1">
        <f t="shared" si="2"/>
        <v>15</v>
      </c>
      <c r="I5" s="1">
        <f>AVERAGE($D$2:D5)</f>
        <v>38.25</v>
      </c>
      <c r="J5" s="1">
        <f t="shared" si="3"/>
        <v>53.25</v>
      </c>
      <c r="K5" s="3" cm="1">
        <f t="array" ref="K5">_xlfn.IFS(J5&gt;60, J5-60, J5&lt;60, J5, J5=60, 0)</f>
        <v>53.25</v>
      </c>
      <c r="L5" s="1">
        <f t="shared" si="4"/>
        <v>5</v>
      </c>
      <c r="M5" s="3">
        <f t="shared" si="5"/>
        <v>53.25</v>
      </c>
      <c r="N5" s="1" t="str">
        <f t="shared" si="6"/>
        <v>5:53.25 min/km</v>
      </c>
      <c r="O5" s="1" t="str">
        <f t="shared" si="7"/>
        <v>5:53.25 min/km</v>
      </c>
      <c r="P5" s="1" t="str">
        <f t="shared" si="8"/>
        <v>November</v>
      </c>
      <c r="Q5" s="47">
        <f>IF(COUNTA(C5)=1,(Table1[[#This Row],[min]]+(Table1[[#This Row],[sec]]/60))/1440, "")</f>
        <v>3.8773148148148148E-3</v>
      </c>
    </row>
    <row r="6" spans="1:17" x14ac:dyDescent="0.25">
      <c r="A6" s="1">
        <v>5</v>
      </c>
      <c r="B6" s="6">
        <v>45970</v>
      </c>
      <c r="C6" s="1">
        <v>540</v>
      </c>
      <c r="D6" s="1">
        <f t="shared" si="0"/>
        <v>40</v>
      </c>
      <c r="E6" s="1">
        <f t="shared" si="1"/>
        <v>5</v>
      </c>
      <c r="F6" s="1">
        <f>AVERAGE($E$2:E6)</f>
        <v>5.2</v>
      </c>
      <c r="G6" s="1">
        <f>IF(INT(F6)=F6,0,VALUE(MID(F6,2,4)))</f>
        <v>0.2</v>
      </c>
      <c r="H6" s="1">
        <f t="shared" si="2"/>
        <v>12</v>
      </c>
      <c r="I6" s="1">
        <f>AVERAGE($D$2:D6)</f>
        <v>38.6</v>
      </c>
      <c r="J6" s="1">
        <f t="shared" si="3"/>
        <v>50.6</v>
      </c>
      <c r="K6" s="4" cm="1">
        <f t="array" ref="K6">_xlfn.IFS(J6&gt;60, J6-60, J6&lt;60, J6, J6=60, 0)</f>
        <v>50.6</v>
      </c>
      <c r="L6" s="1">
        <f t="shared" si="4"/>
        <v>5</v>
      </c>
      <c r="M6" s="3">
        <f t="shared" si="5"/>
        <v>50.6</v>
      </c>
      <c r="N6" s="1" t="str">
        <f t="shared" si="6"/>
        <v>5:50.6 min/km</v>
      </c>
      <c r="O6" s="1" t="str">
        <f t="shared" si="7"/>
        <v>5:50.6 min/km</v>
      </c>
      <c r="P6" s="1" t="str">
        <f t="shared" si="8"/>
        <v>November</v>
      </c>
      <c r="Q6" s="47">
        <f>IF(COUNTA(C6)=1,(Table1[[#This Row],[min]]+(Table1[[#This Row],[sec]]/60))/1440, "")</f>
        <v>3.9351851851851857E-3</v>
      </c>
    </row>
    <row r="7" spans="1:17" x14ac:dyDescent="0.25">
      <c r="A7" s="1">
        <v>6</v>
      </c>
      <c r="B7" s="6">
        <v>45971</v>
      </c>
      <c r="C7" s="1">
        <v>609</v>
      </c>
      <c r="D7" s="1">
        <f t="shared" si="0"/>
        <v>9</v>
      </c>
      <c r="E7" s="1">
        <f t="shared" si="1"/>
        <v>6</v>
      </c>
      <c r="F7" s="1">
        <f>AVERAGE($E$2:E7)</f>
        <v>5.333333333333333</v>
      </c>
      <c r="G7" s="1">
        <f>IF(INT(F7)=F7,0,VALUE(MID(F7,2,4)))</f>
        <v>0.33300000000000002</v>
      </c>
      <c r="H7" s="1">
        <f t="shared" si="2"/>
        <v>19.98</v>
      </c>
      <c r="I7" s="1">
        <f>AVERAGE($D$2:D7)</f>
        <v>33.666666666666664</v>
      </c>
      <c r="J7" s="1">
        <f t="shared" si="3"/>
        <v>53.646666666666661</v>
      </c>
      <c r="K7" s="4" cm="1">
        <f t="array" ref="K7">_xlfn.IFS(J7&gt;60, J7-60, J7&lt;60, J7, J7=60, 0)</f>
        <v>53.646666666666661</v>
      </c>
      <c r="L7" s="1">
        <f t="shared" si="4"/>
        <v>5</v>
      </c>
      <c r="M7" s="3">
        <f t="shared" si="5"/>
        <v>53.64</v>
      </c>
      <c r="N7" s="1" t="str">
        <f t="shared" si="6"/>
        <v>5:53.64 min/km</v>
      </c>
      <c r="O7" s="1" t="str">
        <f t="shared" si="7"/>
        <v>5:53.64 min/km</v>
      </c>
      <c r="P7" s="1" t="str">
        <f t="shared" si="8"/>
        <v>November</v>
      </c>
      <c r="Q7" s="47">
        <f>IF(COUNTA(C7)=1,(Table1[[#This Row],[min]]+(Table1[[#This Row],[sec]]/60))/1440, "")</f>
        <v>4.2708333333333339E-3</v>
      </c>
    </row>
    <row r="8" spans="1:17" x14ac:dyDescent="0.25">
      <c r="A8" s="1">
        <v>7</v>
      </c>
      <c r="B8" s="6">
        <v>45972</v>
      </c>
      <c r="C8" s="1">
        <v>535</v>
      </c>
      <c r="D8" s="1">
        <f t="shared" si="0"/>
        <v>35</v>
      </c>
      <c r="E8" s="1">
        <f t="shared" si="1"/>
        <v>5</v>
      </c>
      <c r="F8" s="1">
        <f>AVERAGE($E$2:E8)</f>
        <v>5.2857142857142856</v>
      </c>
      <c r="G8" s="1">
        <f t="shared" ref="G8:G26" si="9">IF(INT(F8)=F8,0,VALUE(MID(F8,2,4)))</f>
        <v>0.28499999999999998</v>
      </c>
      <c r="H8" s="1">
        <f t="shared" ref="H8:H26" si="10">G8*60</f>
        <v>17.099999999999998</v>
      </c>
      <c r="I8" s="1">
        <f>AVERAGE($D$2:D8)</f>
        <v>33.857142857142854</v>
      </c>
      <c r="J8" s="1">
        <f t="shared" si="3"/>
        <v>50.957142857142856</v>
      </c>
      <c r="K8" s="3" cm="1">
        <f t="array" ref="K8">_xlfn.IFS(J8&gt;60, J8-60, J8&lt;60, J8, J8=60, 0)</f>
        <v>50.957142857142856</v>
      </c>
      <c r="L8" s="1">
        <f t="shared" si="4"/>
        <v>5</v>
      </c>
      <c r="M8" s="3">
        <f t="shared" si="5"/>
        <v>50.95</v>
      </c>
      <c r="N8" s="1" t="str">
        <f t="shared" si="6"/>
        <v>5:50.95 min/km</v>
      </c>
      <c r="O8" s="1" t="str">
        <f t="shared" si="7"/>
        <v>5:50.95 min/km</v>
      </c>
      <c r="P8" s="1" t="str">
        <f t="shared" si="8"/>
        <v>November</v>
      </c>
      <c r="Q8" s="47">
        <f>IF(COUNTA(C8)=1,(Table1[[#This Row],[min]]+(Table1[[#This Row],[sec]]/60))/1440, "")</f>
        <v>3.8773148148148148E-3</v>
      </c>
    </row>
    <row r="9" spans="1:17" x14ac:dyDescent="0.25">
      <c r="A9" s="1">
        <v>8</v>
      </c>
      <c r="B9" s="6">
        <v>45973</v>
      </c>
      <c r="C9" s="1">
        <v>527</v>
      </c>
      <c r="D9" s="1">
        <f t="shared" si="0"/>
        <v>27</v>
      </c>
      <c r="E9" s="1">
        <f t="shared" si="1"/>
        <v>5</v>
      </c>
      <c r="F9" s="1">
        <f>AVERAGE($E$2:E9)</f>
        <v>5.25</v>
      </c>
      <c r="G9" s="1">
        <f t="shared" si="9"/>
        <v>0.25</v>
      </c>
      <c r="H9" s="1">
        <f t="shared" si="10"/>
        <v>15</v>
      </c>
      <c r="I9" s="1">
        <f>AVERAGE($D$2:D9)</f>
        <v>33</v>
      </c>
      <c r="J9" s="1">
        <f t="shared" si="3"/>
        <v>48</v>
      </c>
      <c r="K9" s="3" cm="1">
        <f t="array" ref="K9">_xlfn.IFS(J9&gt;60, J9-60, J9&lt;60, J9, J9=60, 0)</f>
        <v>48</v>
      </c>
      <c r="L9" s="1">
        <f t="shared" si="4"/>
        <v>5</v>
      </c>
      <c r="M9" s="3">
        <f t="shared" si="5"/>
        <v>48</v>
      </c>
      <c r="N9" s="1" t="str">
        <f t="shared" si="6"/>
        <v>5:48 min/km</v>
      </c>
      <c r="O9" s="1" t="str">
        <f t="shared" si="7"/>
        <v>5:48 min/km</v>
      </c>
      <c r="P9" s="1" t="str">
        <f t="shared" si="8"/>
        <v>November</v>
      </c>
      <c r="Q9" s="47">
        <f>IF(COUNTA(C9)=1,(Table1[[#This Row],[min]]+(Table1[[#This Row],[sec]]/60))/1440, "")</f>
        <v>3.7847222222222223E-3</v>
      </c>
    </row>
    <row r="10" spans="1:17" x14ac:dyDescent="0.25">
      <c r="A10" s="1">
        <v>9</v>
      </c>
      <c r="B10" s="6">
        <v>45974</v>
      </c>
      <c r="C10" s="1">
        <v>522</v>
      </c>
      <c r="D10" s="1">
        <f t="shared" si="0"/>
        <v>22</v>
      </c>
      <c r="E10" s="1">
        <f t="shared" si="1"/>
        <v>5</v>
      </c>
      <c r="F10" s="1">
        <f>AVERAGE($E$2:E10)</f>
        <v>5.2222222222222223</v>
      </c>
      <c r="G10" s="1">
        <f t="shared" si="9"/>
        <v>0.222</v>
      </c>
      <c r="H10" s="1">
        <f t="shared" si="10"/>
        <v>13.32</v>
      </c>
      <c r="I10" s="1">
        <f>AVERAGE($D$2:D10)</f>
        <v>31.777777777777779</v>
      </c>
      <c r="J10" s="1">
        <f t="shared" si="3"/>
        <v>45.097777777777779</v>
      </c>
      <c r="K10" s="4" cm="1">
        <f t="array" ref="K10">_xlfn.IFS(J10&gt;60, J10-60, J10&lt;60, J10, J10=60, 0)</f>
        <v>45.097777777777779</v>
      </c>
      <c r="L10" s="1">
        <f t="shared" si="4"/>
        <v>5</v>
      </c>
      <c r="M10" s="3">
        <f t="shared" si="5"/>
        <v>45.09</v>
      </c>
      <c r="N10" s="1" t="str">
        <f t="shared" si="6"/>
        <v>5:45.09 min/km</v>
      </c>
      <c r="O10" s="1" t="str">
        <f t="shared" si="7"/>
        <v>5:45.09 min/km</v>
      </c>
      <c r="P10" s="1" t="str">
        <f t="shared" si="8"/>
        <v>November</v>
      </c>
      <c r="Q10" s="47">
        <f>IF(COUNTA(C10)=1,(Table1[[#This Row],[min]]+(Table1[[#This Row],[sec]]/60))/1440, "")</f>
        <v>3.7268518518518514E-3</v>
      </c>
    </row>
    <row r="11" spans="1:17" x14ac:dyDescent="0.25">
      <c r="A11" s="1">
        <v>10</v>
      </c>
      <c r="B11" s="6">
        <v>45975</v>
      </c>
      <c r="C11" s="1">
        <v>527</v>
      </c>
      <c r="D11" s="1">
        <f t="shared" si="0"/>
        <v>27</v>
      </c>
      <c r="E11" s="1">
        <f t="shared" si="1"/>
        <v>5</v>
      </c>
      <c r="F11" s="1">
        <f>AVERAGE($E$2:E11)</f>
        <v>5.2</v>
      </c>
      <c r="G11" s="1">
        <f t="shared" si="9"/>
        <v>0.2</v>
      </c>
      <c r="H11" s="1">
        <f t="shared" si="10"/>
        <v>12</v>
      </c>
      <c r="I11" s="1">
        <f>AVERAGE($D$2:D11)</f>
        <v>31.3</v>
      </c>
      <c r="J11" s="1">
        <f t="shared" si="3"/>
        <v>43.3</v>
      </c>
      <c r="K11" s="3" cm="1">
        <f t="array" ref="K11">_xlfn.IFS(J11&gt;60, J11-60, J11&lt;60, J11, J11=60, 0)</f>
        <v>43.3</v>
      </c>
      <c r="L11" s="1">
        <f t="shared" si="4"/>
        <v>5</v>
      </c>
      <c r="M11" s="3">
        <f t="shared" si="5"/>
        <v>43.3</v>
      </c>
      <c r="N11" s="1" t="str">
        <f t="shared" si="6"/>
        <v>5:43.3 min/km</v>
      </c>
      <c r="O11" s="1" t="str">
        <f t="shared" si="7"/>
        <v>5:43.3 min/km</v>
      </c>
      <c r="P11" s="1" t="str">
        <f t="shared" si="8"/>
        <v>November</v>
      </c>
      <c r="Q11" s="47">
        <f>IF(COUNTA(C11)=1,(Table1[[#This Row],[min]]+(Table1[[#This Row],[sec]]/60))/1440, "")</f>
        <v>3.7847222222222223E-3</v>
      </c>
    </row>
    <row r="12" spans="1:17" x14ac:dyDescent="0.25">
      <c r="A12" s="1">
        <v>11</v>
      </c>
      <c r="B12" s="6">
        <v>45976</v>
      </c>
      <c r="C12" s="1">
        <v>530</v>
      </c>
      <c r="D12" s="1">
        <f t="shared" si="0"/>
        <v>30</v>
      </c>
      <c r="E12" s="1">
        <f t="shared" si="1"/>
        <v>5</v>
      </c>
      <c r="F12" s="1">
        <f>AVERAGE($E$2:E12)</f>
        <v>5.1818181818181817</v>
      </c>
      <c r="G12" s="1">
        <f t="shared" si="9"/>
        <v>0.18099999999999999</v>
      </c>
      <c r="H12" s="1">
        <f t="shared" si="10"/>
        <v>10.86</v>
      </c>
      <c r="I12" s="1">
        <f>AVERAGE($D$2:D12)</f>
        <v>31.181818181818183</v>
      </c>
      <c r="J12" s="1">
        <f t="shared" si="3"/>
        <v>42.041818181818186</v>
      </c>
      <c r="K12" s="4" cm="1">
        <f t="array" ref="K12">_xlfn.IFS(J12&gt;60, J12-60, J12&lt;60, J12, J12=60, 0)</f>
        <v>42.041818181818186</v>
      </c>
      <c r="L12" s="1">
        <f t="shared" si="4"/>
        <v>5</v>
      </c>
      <c r="M12" s="3">
        <f t="shared" si="5"/>
        <v>42.04</v>
      </c>
      <c r="N12" s="1" t="str">
        <f t="shared" si="6"/>
        <v>5:42.04 min/km</v>
      </c>
      <c r="O12" s="1" t="str">
        <f t="shared" si="7"/>
        <v>5:42.04 min/km</v>
      </c>
      <c r="P12" s="1" t="str">
        <f t="shared" si="8"/>
        <v>November</v>
      </c>
      <c r="Q12" s="47">
        <f>IF(COUNTA(C12)=1,(Table1[[#This Row],[min]]+(Table1[[#This Row],[sec]]/60))/1440, "")</f>
        <v>3.8194444444444443E-3</v>
      </c>
    </row>
    <row r="13" spans="1:17" x14ac:dyDescent="0.25">
      <c r="A13" s="1">
        <v>12</v>
      </c>
      <c r="B13" s="6">
        <v>45977</v>
      </c>
      <c r="C13" s="1">
        <v>708</v>
      </c>
      <c r="D13" s="1">
        <f t="shared" si="0"/>
        <v>8</v>
      </c>
      <c r="E13" s="1">
        <f t="shared" si="1"/>
        <v>7</v>
      </c>
      <c r="F13" s="1">
        <f>AVERAGE($E$2:E13)</f>
        <v>5.333333333333333</v>
      </c>
      <c r="G13" s="1">
        <f t="shared" si="9"/>
        <v>0.33300000000000002</v>
      </c>
      <c r="H13" s="1">
        <f t="shared" si="10"/>
        <v>19.98</v>
      </c>
      <c r="I13" s="1">
        <f>AVERAGE($D$2:D13)</f>
        <v>29.25</v>
      </c>
      <c r="J13" s="1">
        <f t="shared" si="3"/>
        <v>49.230000000000004</v>
      </c>
      <c r="K13" s="4" cm="1">
        <f t="array" ref="K13">_xlfn.IFS(J13&gt;60, J13-60, J13&lt;60, J13, J13=60, 0)</f>
        <v>49.230000000000004</v>
      </c>
      <c r="L13" s="1">
        <f t="shared" si="4"/>
        <v>5</v>
      </c>
      <c r="M13" s="3">
        <f t="shared" si="5"/>
        <v>49.23</v>
      </c>
      <c r="N13" s="1" t="str">
        <f t="shared" si="6"/>
        <v>5:49.23 min/km</v>
      </c>
      <c r="O13" s="1" t="str">
        <f t="shared" si="7"/>
        <v>5:49.23 min/km</v>
      </c>
      <c r="P13" s="1" t="str">
        <f t="shared" si="8"/>
        <v>November</v>
      </c>
      <c r="Q13" s="47">
        <f>IF(COUNTA(C13)=1,(Table1[[#This Row],[min]]+(Table1[[#This Row],[sec]]/60))/1440, "")</f>
        <v>4.9537037037037041E-3</v>
      </c>
    </row>
    <row r="14" spans="1:17" x14ac:dyDescent="0.25">
      <c r="A14" s="1">
        <v>13</v>
      </c>
      <c r="B14" s="6">
        <v>45978</v>
      </c>
      <c r="C14" s="1">
        <v>527</v>
      </c>
      <c r="D14" s="1">
        <f t="shared" si="0"/>
        <v>27</v>
      </c>
      <c r="E14" s="1">
        <f t="shared" si="1"/>
        <v>5</v>
      </c>
      <c r="F14" s="1">
        <f>AVERAGE($E$2:E14)</f>
        <v>5.3076923076923075</v>
      </c>
      <c r="G14" s="1">
        <f t="shared" si="9"/>
        <v>0.307</v>
      </c>
      <c r="H14" s="1">
        <f t="shared" si="10"/>
        <v>18.419999999999998</v>
      </c>
      <c r="I14" s="1">
        <f>AVERAGE($D$2:D14)</f>
        <v>29.076923076923077</v>
      </c>
      <c r="J14" s="1">
        <f t="shared" si="3"/>
        <v>47.496923076923075</v>
      </c>
      <c r="K14" s="3" cm="1">
        <f t="array" ref="K14">_xlfn.IFS(J14&gt;60, J14-60, J14&lt;60, J14, J14=60, 0)</f>
        <v>47.496923076923075</v>
      </c>
      <c r="L14" s="1">
        <f t="shared" si="4"/>
        <v>5</v>
      </c>
      <c r="M14" s="3">
        <f t="shared" si="5"/>
        <v>47.49</v>
      </c>
      <c r="N14" s="1" t="str">
        <f t="shared" si="6"/>
        <v>5:47.49 min/km</v>
      </c>
      <c r="O14" s="1" t="str">
        <f t="shared" si="7"/>
        <v>5:47.49 min/km</v>
      </c>
      <c r="P14" s="1" t="str">
        <f t="shared" si="8"/>
        <v>November</v>
      </c>
      <c r="Q14" s="47">
        <f>IF(COUNTA(C14)=1,(Table1[[#This Row],[min]]+(Table1[[#This Row],[sec]]/60))/1440, "")</f>
        <v>3.7847222222222223E-3</v>
      </c>
    </row>
    <row r="15" spans="1:17" x14ac:dyDescent="0.25">
      <c r="A15" s="1">
        <v>14</v>
      </c>
      <c r="B15" s="6">
        <v>45979</v>
      </c>
      <c r="C15" s="1">
        <v>522</v>
      </c>
      <c r="D15" s="1">
        <f t="shared" si="0"/>
        <v>22</v>
      </c>
      <c r="E15" s="1">
        <f t="shared" si="1"/>
        <v>5</v>
      </c>
      <c r="F15" s="1">
        <f>AVERAGE($E$2:E15)</f>
        <v>5.2857142857142856</v>
      </c>
      <c r="G15" s="1">
        <f t="shared" si="9"/>
        <v>0.28499999999999998</v>
      </c>
      <c r="H15" s="1">
        <f t="shared" si="10"/>
        <v>17.099999999999998</v>
      </c>
      <c r="I15" s="1">
        <f>AVERAGE($D$2:D15)</f>
        <v>28.571428571428573</v>
      </c>
      <c r="J15" s="1">
        <f t="shared" si="3"/>
        <v>45.671428571428571</v>
      </c>
      <c r="K15" s="3" cm="1">
        <f t="array" ref="K15">_xlfn.IFS(J15&gt;60, J15-60, J15&lt;60, J15, J15=60, 0)</f>
        <v>45.671428571428571</v>
      </c>
      <c r="L15" s="1">
        <f t="shared" si="4"/>
        <v>5</v>
      </c>
      <c r="M15" s="3">
        <f t="shared" si="5"/>
        <v>45.67</v>
      </c>
      <c r="N15" s="1" t="str">
        <f t="shared" si="6"/>
        <v>5:45.67 min/km</v>
      </c>
      <c r="O15" s="1" t="str">
        <f t="shared" si="7"/>
        <v>5:45.67 min/km</v>
      </c>
      <c r="P15" s="1" t="str">
        <f t="shared" si="8"/>
        <v>November</v>
      </c>
      <c r="Q15" s="47">
        <f>IF(COUNTA(C15)=1,(Table1[[#This Row],[min]]+(Table1[[#This Row],[sec]]/60))/1440, "")</f>
        <v>3.7268518518518514E-3</v>
      </c>
    </row>
    <row r="16" spans="1:17" x14ac:dyDescent="0.25">
      <c r="A16" s="1">
        <v>15</v>
      </c>
      <c r="B16" s="6">
        <v>45980</v>
      </c>
      <c r="C16" s="1">
        <v>532</v>
      </c>
      <c r="D16" s="1">
        <f t="shared" si="0"/>
        <v>32</v>
      </c>
      <c r="E16" s="1">
        <f t="shared" si="1"/>
        <v>5</v>
      </c>
      <c r="F16" s="1">
        <f>AVERAGE($E$2:E16)</f>
        <v>5.2666666666666666</v>
      </c>
      <c r="G16" s="1">
        <f t="shared" si="9"/>
        <v>0.26600000000000001</v>
      </c>
      <c r="H16" s="1">
        <f t="shared" si="10"/>
        <v>15.96</v>
      </c>
      <c r="I16" s="1">
        <f>AVERAGE($D$2:D16)</f>
        <v>28.8</v>
      </c>
      <c r="J16" s="1">
        <f t="shared" si="3"/>
        <v>44.760000000000005</v>
      </c>
      <c r="K16" s="4" cm="1">
        <f t="array" ref="K16">_xlfn.IFS(J16&gt;60, J16-60, J16&lt;60, J16, J16=60, 0)</f>
        <v>44.760000000000005</v>
      </c>
      <c r="L16" s="1">
        <f t="shared" si="4"/>
        <v>5</v>
      </c>
      <c r="M16" s="3">
        <f t="shared" si="5"/>
        <v>44.76</v>
      </c>
      <c r="N16" s="1" t="str">
        <f t="shared" si="6"/>
        <v>5:44.76 min/km</v>
      </c>
      <c r="O16" s="1" t="str">
        <f t="shared" si="7"/>
        <v>5:44.76 min/km</v>
      </c>
      <c r="P16" s="1" t="str">
        <f t="shared" si="8"/>
        <v>November</v>
      </c>
      <c r="Q16" s="47">
        <f>IF(COUNTA(C16)=1,(Table1[[#This Row],[min]]+(Table1[[#This Row],[sec]]/60))/1440, "")</f>
        <v>3.8425925925925923E-3</v>
      </c>
    </row>
    <row r="17" spans="1:17" x14ac:dyDescent="0.25">
      <c r="A17" s="1">
        <v>16</v>
      </c>
      <c r="B17" s="6">
        <v>45981</v>
      </c>
      <c r="C17" s="1">
        <v>704</v>
      </c>
      <c r="D17" s="1">
        <f t="shared" si="0"/>
        <v>4</v>
      </c>
      <c r="E17" s="1">
        <f t="shared" si="1"/>
        <v>7</v>
      </c>
      <c r="F17" s="1">
        <f>AVERAGE($E$2:E17)</f>
        <v>5.375</v>
      </c>
      <c r="G17" s="1">
        <f t="shared" si="9"/>
        <v>0.375</v>
      </c>
      <c r="H17" s="1">
        <f t="shared" si="10"/>
        <v>22.5</v>
      </c>
      <c r="I17" s="1">
        <f>AVERAGE($D$2:D17)</f>
        <v>27.25</v>
      </c>
      <c r="J17" s="1">
        <f t="shared" si="3"/>
        <v>49.75</v>
      </c>
      <c r="K17" s="3" cm="1">
        <f t="array" ref="K17">_xlfn.IFS(J17&gt;60, J17-60, J17&lt;60, J17, J17=60, 0)</f>
        <v>49.75</v>
      </c>
      <c r="L17" s="1">
        <f t="shared" si="4"/>
        <v>5</v>
      </c>
      <c r="M17" s="3">
        <f t="shared" si="5"/>
        <v>49.75</v>
      </c>
      <c r="N17" s="1" t="str">
        <f t="shared" si="6"/>
        <v>5:49.75 min/km</v>
      </c>
      <c r="O17" s="1" t="str">
        <f t="shared" si="7"/>
        <v>5:49.75 min/km</v>
      </c>
      <c r="P17" s="1" t="str">
        <f t="shared" si="8"/>
        <v>November</v>
      </c>
      <c r="Q17" s="47">
        <f>IF(COUNTA(C17)=1,(Table1[[#This Row],[min]]+(Table1[[#This Row],[sec]]/60))/1440, "")</f>
        <v>4.9074074074074072E-3</v>
      </c>
    </row>
    <row r="18" spans="1:17" x14ac:dyDescent="0.25">
      <c r="A18" s="1">
        <v>17</v>
      </c>
      <c r="B18" s="6">
        <v>45982</v>
      </c>
      <c r="C18" s="1">
        <v>535</v>
      </c>
      <c r="D18" s="1">
        <f t="shared" si="0"/>
        <v>35</v>
      </c>
      <c r="E18" s="1">
        <f t="shared" si="1"/>
        <v>5</v>
      </c>
      <c r="F18" s="1">
        <f>AVERAGE($E$2:E18)</f>
        <v>5.3529411764705879</v>
      </c>
      <c r="G18" s="1">
        <f t="shared" si="9"/>
        <v>0.35199999999999998</v>
      </c>
      <c r="H18" s="1">
        <f t="shared" si="10"/>
        <v>21.119999999999997</v>
      </c>
      <c r="I18" s="1">
        <f>AVERAGE($D$2:D18)</f>
        <v>27.705882352941178</v>
      </c>
      <c r="J18" s="1">
        <f t="shared" si="3"/>
        <v>48.825882352941179</v>
      </c>
      <c r="K18" s="4" cm="1">
        <f t="array" ref="K18">_xlfn.IFS(J18&gt;60, J18-60, J18&lt;60, J18, J18=60, 0)</f>
        <v>48.825882352941179</v>
      </c>
      <c r="L18" s="1">
        <f t="shared" si="4"/>
        <v>5</v>
      </c>
      <c r="M18" s="3">
        <f t="shared" si="5"/>
        <v>48.82</v>
      </c>
      <c r="N18" s="1" t="str">
        <f t="shared" si="6"/>
        <v>5:48.82 min/km</v>
      </c>
      <c r="O18" s="1" t="str">
        <f t="shared" si="7"/>
        <v>5:48.82 min/km</v>
      </c>
      <c r="P18" s="1" t="str">
        <f t="shared" si="8"/>
        <v>November</v>
      </c>
      <c r="Q18" s="47">
        <f>IF(COUNTA(C18)=1,(Table1[[#This Row],[min]]+(Table1[[#This Row],[sec]]/60))/1440, "")</f>
        <v>3.8773148148148148E-3</v>
      </c>
    </row>
    <row r="19" spans="1:17" x14ac:dyDescent="0.25">
      <c r="A19" s="1">
        <v>18</v>
      </c>
      <c r="B19" s="6">
        <v>45983</v>
      </c>
      <c r="C19" s="1">
        <v>549</v>
      </c>
      <c r="D19" s="1">
        <f t="shared" si="0"/>
        <v>49</v>
      </c>
      <c r="E19" s="1">
        <f t="shared" si="1"/>
        <v>5</v>
      </c>
      <c r="F19" s="1">
        <f>AVERAGE($E$2:E19)</f>
        <v>5.333333333333333</v>
      </c>
      <c r="G19" s="1">
        <f t="shared" si="9"/>
        <v>0.33300000000000002</v>
      </c>
      <c r="H19" s="1">
        <f t="shared" si="10"/>
        <v>19.98</v>
      </c>
      <c r="I19" s="1">
        <f>AVERAGE($D$2:D19)</f>
        <v>28.888888888888889</v>
      </c>
      <c r="J19" s="1">
        <f t="shared" si="3"/>
        <v>48.86888888888889</v>
      </c>
      <c r="K19" s="4" cm="1">
        <f t="array" ref="K19">_xlfn.IFS(J19&gt;60, J19-60, J19&lt;60, J19, J19=60, 0)</f>
        <v>48.86888888888889</v>
      </c>
      <c r="L19" s="1">
        <f t="shared" si="4"/>
        <v>5</v>
      </c>
      <c r="M19" s="3">
        <f t="shared" si="5"/>
        <v>48.86</v>
      </c>
      <c r="N19" s="1" t="str">
        <f t="shared" si="6"/>
        <v>5:48.86 min/km</v>
      </c>
      <c r="O19" s="1" t="str">
        <f t="shared" si="7"/>
        <v>5:48.86 min/km</v>
      </c>
      <c r="P19" s="1" t="str">
        <f t="shared" si="8"/>
        <v>November</v>
      </c>
      <c r="Q19" s="47">
        <f>IF(COUNTA(C19)=1,(Table1[[#This Row],[min]]+(Table1[[#This Row],[sec]]/60))/1440, "")</f>
        <v>4.0393518518518513E-3</v>
      </c>
    </row>
    <row r="20" spans="1:17" x14ac:dyDescent="0.25">
      <c r="A20" s="1">
        <v>19</v>
      </c>
      <c r="B20" s="6">
        <v>45984</v>
      </c>
      <c r="C20" s="1">
        <v>528</v>
      </c>
      <c r="D20" s="1">
        <f t="shared" si="0"/>
        <v>28</v>
      </c>
      <c r="E20" s="1">
        <f t="shared" si="1"/>
        <v>5</v>
      </c>
      <c r="F20" s="1">
        <f>AVERAGE($E$2:E20)</f>
        <v>5.3157894736842106</v>
      </c>
      <c r="G20" s="1">
        <f t="shared" si="9"/>
        <v>0.315</v>
      </c>
      <c r="H20" s="1">
        <f t="shared" si="10"/>
        <v>18.899999999999999</v>
      </c>
      <c r="I20" s="1">
        <f>AVERAGE($D$2:D20)</f>
        <v>28.842105263157894</v>
      </c>
      <c r="J20" s="1">
        <f t="shared" si="3"/>
        <v>47.742105263157896</v>
      </c>
      <c r="K20" s="3" cm="1">
        <f t="array" ref="K20">_xlfn.IFS(J20&gt;60, J20-60, J20&lt;60, J20, J20=60, 0)</f>
        <v>47.742105263157896</v>
      </c>
      <c r="L20" s="1">
        <f t="shared" si="4"/>
        <v>5</v>
      </c>
      <c r="M20" s="3">
        <f t="shared" si="5"/>
        <v>47.74</v>
      </c>
      <c r="N20" s="1" t="str">
        <f t="shared" si="6"/>
        <v>5:47.74 min/km</v>
      </c>
      <c r="O20" s="1" t="str">
        <f t="shared" si="7"/>
        <v>5:47.74 min/km</v>
      </c>
      <c r="P20" s="1" t="str">
        <f t="shared" si="8"/>
        <v>November</v>
      </c>
      <c r="Q20" s="47">
        <f>IF(COUNTA(C20)=1,(Table1[[#This Row],[min]]+(Table1[[#This Row],[sec]]/60))/1440, "")</f>
        <v>3.7962962962962963E-3</v>
      </c>
    </row>
    <row r="21" spans="1:17" x14ac:dyDescent="0.25">
      <c r="A21" s="1">
        <v>20</v>
      </c>
      <c r="B21" s="6">
        <v>45985</v>
      </c>
      <c r="C21" s="1">
        <v>542</v>
      </c>
      <c r="D21" s="1">
        <f t="shared" si="0"/>
        <v>42</v>
      </c>
      <c r="E21" s="1">
        <f t="shared" si="1"/>
        <v>5</v>
      </c>
      <c r="F21" s="1">
        <f>AVERAGE($E$2:E21)</f>
        <v>5.3</v>
      </c>
      <c r="G21" s="1">
        <f t="shared" si="9"/>
        <v>0.3</v>
      </c>
      <c r="H21" s="1">
        <f t="shared" si="10"/>
        <v>18</v>
      </c>
      <c r="I21" s="1">
        <f>AVERAGE($D$2:D21)</f>
        <v>29.5</v>
      </c>
      <c r="J21" s="1">
        <f t="shared" si="3"/>
        <v>47.5</v>
      </c>
      <c r="K21" s="3" cm="1">
        <f t="array" ref="K21">_xlfn.IFS(J21&gt;60, J21-60, J21&lt;60, J21, J21=60, 0)</f>
        <v>47.5</v>
      </c>
      <c r="L21" s="1">
        <f t="shared" si="4"/>
        <v>5</v>
      </c>
      <c r="M21" s="3">
        <f t="shared" si="5"/>
        <v>47.5</v>
      </c>
      <c r="N21" s="1" t="str">
        <f t="shared" si="6"/>
        <v>5:47.5 min/km</v>
      </c>
      <c r="O21" s="1" t="str">
        <f t="shared" si="7"/>
        <v>5:47.5 min/km</v>
      </c>
      <c r="P21" s="1" t="str">
        <f t="shared" si="8"/>
        <v>November</v>
      </c>
      <c r="Q21" s="47">
        <f>IF(COUNTA(C21)=1,(Table1[[#This Row],[min]]+(Table1[[#This Row],[sec]]/60))/1440, "")</f>
        <v>3.9583333333333337E-3</v>
      </c>
    </row>
    <row r="22" spans="1:17" x14ac:dyDescent="0.25">
      <c r="A22" s="1">
        <v>21</v>
      </c>
      <c r="B22" s="6">
        <v>45986</v>
      </c>
      <c r="C22" s="1">
        <v>533</v>
      </c>
      <c r="D22" s="1">
        <f>VALUE(RIGHT(C22, 2))</f>
        <v>33</v>
      </c>
      <c r="E22" s="1">
        <f t="shared" si="1"/>
        <v>5</v>
      </c>
      <c r="F22" s="1">
        <f>AVERAGE($E$2:E22)</f>
        <v>5.2857142857142856</v>
      </c>
      <c r="G22" s="1">
        <f t="shared" si="9"/>
        <v>0.28499999999999998</v>
      </c>
      <c r="H22" s="1">
        <f t="shared" si="10"/>
        <v>17.099999999999998</v>
      </c>
      <c r="I22" s="1">
        <f>AVERAGE($D$2:D22)</f>
        <v>29.666666666666668</v>
      </c>
      <c r="J22" s="1">
        <f t="shared" si="3"/>
        <v>46.766666666666666</v>
      </c>
      <c r="K22" s="4" cm="1">
        <f t="array" ref="K22">_xlfn.IFS(J22&gt;60, J22-60, J22&lt;60, J22, J22=60, 0)</f>
        <v>46.766666666666666</v>
      </c>
      <c r="L22" s="1">
        <f t="shared" si="4"/>
        <v>5</v>
      </c>
      <c r="M22" s="3">
        <f t="shared" si="5"/>
        <v>46.76</v>
      </c>
      <c r="N22" s="1" t="str">
        <f t="shared" si="6"/>
        <v>5:46.76 min/km</v>
      </c>
      <c r="O22" s="1" t="str">
        <f t="shared" si="7"/>
        <v>5:46.76 min/km</v>
      </c>
      <c r="P22" s="1" t="str">
        <f t="shared" si="8"/>
        <v>November</v>
      </c>
      <c r="Q22" s="47">
        <f>IF(COUNTA(C22)=1,(Table1[[#This Row],[min]]+(Table1[[#This Row],[sec]]/60))/1440, "")</f>
        <v>3.8541666666666663E-3</v>
      </c>
    </row>
    <row r="23" spans="1:17" x14ac:dyDescent="0.25">
      <c r="A23" s="1">
        <v>22</v>
      </c>
      <c r="B23" s="6">
        <v>45987</v>
      </c>
      <c r="C23" s="1">
        <v>522</v>
      </c>
      <c r="D23" s="1">
        <f t="shared" si="0"/>
        <v>22</v>
      </c>
      <c r="E23" s="1">
        <f t="shared" si="1"/>
        <v>5</v>
      </c>
      <c r="F23" s="1">
        <f>AVERAGE($E$2:E23)</f>
        <v>5.2727272727272725</v>
      </c>
      <c r="G23" s="1">
        <f t="shared" si="9"/>
        <v>0.27200000000000002</v>
      </c>
      <c r="H23" s="1">
        <f t="shared" si="10"/>
        <v>16.32</v>
      </c>
      <c r="I23" s="1">
        <f>AVERAGE($D$2:D23)</f>
        <v>29.318181818181817</v>
      </c>
      <c r="J23" s="1">
        <f t="shared" si="3"/>
        <v>45.63818181818182</v>
      </c>
      <c r="K23" s="3" cm="1">
        <f t="array" ref="K23">_xlfn.IFS(J23&gt;60, J23-60, J23&lt;60, J23, J23=60, 0)</f>
        <v>45.63818181818182</v>
      </c>
      <c r="L23" s="1">
        <f t="shared" si="4"/>
        <v>5</v>
      </c>
      <c r="M23" s="3">
        <f t="shared" si="5"/>
        <v>45.63</v>
      </c>
      <c r="N23" s="1" t="str">
        <f t="shared" si="6"/>
        <v>5:45.63 min/km</v>
      </c>
      <c r="O23" s="1" t="str">
        <f t="shared" si="7"/>
        <v>5:45.63 min/km</v>
      </c>
      <c r="P23" s="1" t="str">
        <f t="shared" si="8"/>
        <v>November</v>
      </c>
      <c r="Q23" s="47">
        <f>IF(COUNTA(C23)=1,(Table1[[#This Row],[min]]+(Table1[[#This Row],[sec]]/60))/1440, "")</f>
        <v>3.7268518518518514E-3</v>
      </c>
    </row>
    <row r="24" spans="1:17" x14ac:dyDescent="0.25">
      <c r="A24" s="1">
        <v>23</v>
      </c>
      <c r="B24" s="6">
        <v>45988</v>
      </c>
      <c r="C24" s="1">
        <v>547</v>
      </c>
      <c r="D24" s="1">
        <f t="shared" si="0"/>
        <v>47</v>
      </c>
      <c r="E24" s="1">
        <f t="shared" si="1"/>
        <v>5</v>
      </c>
      <c r="F24" s="1">
        <f>AVERAGE($E$2:E24)</f>
        <v>5.2608695652173916</v>
      </c>
      <c r="G24" s="1">
        <f t="shared" si="9"/>
        <v>0.26</v>
      </c>
      <c r="H24" s="1">
        <f t="shared" si="10"/>
        <v>15.600000000000001</v>
      </c>
      <c r="I24" s="1">
        <f>AVERAGE($D$2:D24)</f>
        <v>30.086956521739129</v>
      </c>
      <c r="J24" s="1">
        <f t="shared" si="3"/>
        <v>45.686956521739134</v>
      </c>
      <c r="K24" s="4" cm="1">
        <f t="array" ref="K24">_xlfn.IFS(J24&gt;60, J24-60, J24&lt;60, J24, J24=60, 0)</f>
        <v>45.686956521739134</v>
      </c>
      <c r="L24" s="1">
        <f t="shared" si="4"/>
        <v>5</v>
      </c>
      <c r="M24" s="3">
        <f t="shared" si="5"/>
        <v>45.68</v>
      </c>
      <c r="N24" s="1" t="str">
        <f t="shared" si="6"/>
        <v>5:45.68 min/km</v>
      </c>
      <c r="O24" s="1" t="str">
        <f t="shared" si="7"/>
        <v>5:45.68 min/km</v>
      </c>
      <c r="P24" s="1" t="str">
        <f t="shared" si="8"/>
        <v>November</v>
      </c>
      <c r="Q24" s="47">
        <f>IF(COUNTA(C24)=1,(Table1[[#This Row],[min]]+(Table1[[#This Row],[sec]]/60))/1440, "")</f>
        <v>4.0162037037037033E-3</v>
      </c>
    </row>
    <row r="25" spans="1:17" x14ac:dyDescent="0.25">
      <c r="A25" s="1">
        <v>24</v>
      </c>
      <c r="B25" s="6">
        <v>45989</v>
      </c>
      <c r="C25" s="1">
        <v>529</v>
      </c>
      <c r="D25" s="1">
        <f t="shared" si="0"/>
        <v>29</v>
      </c>
      <c r="E25" s="1">
        <f t="shared" si="1"/>
        <v>5</v>
      </c>
      <c r="F25" s="1">
        <f>AVERAGE($E$2:E25)</f>
        <v>5.25</v>
      </c>
      <c r="G25" s="1">
        <f t="shared" si="9"/>
        <v>0.25</v>
      </c>
      <c r="H25" s="1">
        <f t="shared" si="10"/>
        <v>15</v>
      </c>
      <c r="I25" s="1">
        <f>AVERAGE($D$2:D25)</f>
        <v>30.041666666666668</v>
      </c>
      <c r="J25" s="1">
        <f t="shared" si="3"/>
        <v>45.041666666666671</v>
      </c>
      <c r="K25" s="4" cm="1">
        <f t="array" ref="K25">_xlfn.IFS(J25&gt;60, J25-60, J25&lt;60, J25, J25=60, 0)</f>
        <v>45.041666666666671</v>
      </c>
      <c r="L25" s="1">
        <f t="shared" si="4"/>
        <v>5</v>
      </c>
      <c r="M25" s="3">
        <f t="shared" si="5"/>
        <v>45.04</v>
      </c>
      <c r="N25" s="1" t="str">
        <f t="shared" si="6"/>
        <v>5:45.04 min/km</v>
      </c>
      <c r="O25" s="1" t="str">
        <f t="shared" si="7"/>
        <v>5:45.04 min/km</v>
      </c>
      <c r="P25" s="1" t="str">
        <f t="shared" si="8"/>
        <v>November</v>
      </c>
      <c r="Q25" s="47">
        <f>IF(COUNTA(C25)=1,(Table1[[#This Row],[min]]+(Table1[[#This Row],[sec]]/60))/1440, "")</f>
        <v>3.8078703703703703E-3</v>
      </c>
    </row>
    <row r="26" spans="1:17" x14ac:dyDescent="0.25">
      <c r="A26" s="1">
        <v>25</v>
      </c>
      <c r="B26" s="6">
        <v>45990</v>
      </c>
      <c r="C26" s="1">
        <v>541</v>
      </c>
      <c r="D26" s="1">
        <f t="shared" si="0"/>
        <v>41</v>
      </c>
      <c r="E26" s="1">
        <f t="shared" si="1"/>
        <v>5</v>
      </c>
      <c r="F26" s="1">
        <f>AVERAGE($E$2:E26)</f>
        <v>5.24</v>
      </c>
      <c r="G26" s="1">
        <f t="shared" si="9"/>
        <v>0.24</v>
      </c>
      <c r="H26" s="1">
        <f t="shared" si="10"/>
        <v>14.399999999999999</v>
      </c>
      <c r="I26" s="1">
        <f>AVERAGE($D$2:D26)</f>
        <v>30.48</v>
      </c>
      <c r="J26" s="1">
        <f t="shared" si="3"/>
        <v>44.879999999999995</v>
      </c>
      <c r="K26" s="3" cm="1">
        <f t="array" ref="K26">_xlfn.IFS(J26&gt;60, J26-60, J26&lt;60, J26, J26=60, 0)</f>
        <v>44.879999999999995</v>
      </c>
      <c r="L26" s="1">
        <f t="shared" si="4"/>
        <v>5</v>
      </c>
      <c r="M26" s="3">
        <f t="shared" si="5"/>
        <v>44.88</v>
      </c>
      <c r="N26" s="1" t="str">
        <f t="shared" si="6"/>
        <v>5:44.88 min/km</v>
      </c>
      <c r="O26" s="1" t="str">
        <f t="shared" si="7"/>
        <v>5:44.88 min/km</v>
      </c>
      <c r="P26" s="1" t="str">
        <f t="shared" si="8"/>
        <v>November</v>
      </c>
      <c r="Q26" s="47">
        <f>IF(COUNTA(C26)=1,(Table1[[#This Row],[min]]+(Table1[[#This Row],[sec]]/60))/1440, "")</f>
        <v>3.9467592592592592E-3</v>
      </c>
    </row>
    <row r="27" spans="1:17" x14ac:dyDescent="0.25">
      <c r="A27" s="1">
        <v>26</v>
      </c>
      <c r="B27" s="6">
        <v>45991</v>
      </c>
      <c r="C27" s="1">
        <v>541</v>
      </c>
      <c r="D27" s="1">
        <f t="shared" ref="D27:D43" si="11">VALUE(RIGHT(C27, 2))</f>
        <v>41</v>
      </c>
      <c r="E27" s="1">
        <f t="shared" ref="E27:E43" si="12">VALUE(LEFT(C27,1))</f>
        <v>5</v>
      </c>
      <c r="F27" s="1">
        <f>AVERAGE($E$2:E27)</f>
        <v>5.2307692307692308</v>
      </c>
      <c r="G27" s="1">
        <f t="shared" ref="G27:G43" si="13">IF(INT(F27)=F27,0,VALUE(MID(F27,2,4)))</f>
        <v>0.23</v>
      </c>
      <c r="H27" s="1">
        <f t="shared" ref="H27:H43" si="14">G27*60</f>
        <v>13.8</v>
      </c>
      <c r="I27" s="1">
        <f>AVERAGE($D$2:D27)</f>
        <v>30.884615384615383</v>
      </c>
      <c r="J27" s="1">
        <f t="shared" ref="J27:J43" si="15">H27+I27</f>
        <v>44.684615384615384</v>
      </c>
      <c r="K27" s="4" cm="1">
        <f t="array" ref="K27">_xlfn.IFS(J27&gt;60, J27-60, J27&lt;60, J27, J27=60, 0)</f>
        <v>44.684615384615384</v>
      </c>
      <c r="L27" s="1">
        <f t="shared" ref="L27:L43" si="16">IF(J27&gt;60, 1 + VALUE(LEFT(F27,1)), VALUE(LEFT(F27,1)))</f>
        <v>5</v>
      </c>
      <c r="M27" s="3">
        <f t="shared" ref="M27:M43" si="17" xml:space="preserve"> VALUE(LEFT(K27,5))</f>
        <v>44.68</v>
      </c>
      <c r="N27" s="1" t="str">
        <f t="shared" ref="N27:N43" si="18">IF(K27&lt;10, CONCATENATE(L27, ":", 0, M27, " min/km"), CONCATENATE(L27, ":", M27, " min/km"))</f>
        <v>5:44.68 min/km</v>
      </c>
      <c r="O27" s="2" t="str">
        <f t="shared" ref="O27:O43" si="19">IF(COUNT(C27)=1, N27, "")</f>
        <v>5:44.68 min/km</v>
      </c>
      <c r="P27" s="1" t="str">
        <f t="shared" si="8"/>
        <v>November</v>
      </c>
      <c r="Q27" s="47">
        <f>IF(COUNTA(C27)=1,(Table1[[#This Row],[min]]+(Table1[[#This Row],[sec]]/60))/1440, "")</f>
        <v>3.9467592592592592E-3</v>
      </c>
    </row>
    <row r="28" spans="1:17" x14ac:dyDescent="0.25">
      <c r="A28" s="1">
        <v>27</v>
      </c>
      <c r="B28" s="6">
        <v>45993</v>
      </c>
      <c r="C28" s="1">
        <v>523</v>
      </c>
      <c r="D28" s="1">
        <f t="shared" si="11"/>
        <v>23</v>
      </c>
      <c r="E28" s="1">
        <f t="shared" si="12"/>
        <v>5</v>
      </c>
      <c r="F28" s="1">
        <f>AVERAGE($E$2:E28)</f>
        <v>5.2222222222222223</v>
      </c>
      <c r="G28" s="1">
        <f t="shared" si="13"/>
        <v>0.222</v>
      </c>
      <c r="H28" s="1">
        <f t="shared" si="14"/>
        <v>13.32</v>
      </c>
      <c r="I28" s="1">
        <f>AVERAGE($D$2:D28)</f>
        <v>30.592592592592592</v>
      </c>
      <c r="J28" s="1">
        <f t="shared" si="15"/>
        <v>43.912592592592588</v>
      </c>
      <c r="K28" s="4" cm="1">
        <f t="array" ref="K28">_xlfn.IFS(J28&gt;60, J28-60, J28&lt;60, J28, J28=60, 0)</f>
        <v>43.912592592592588</v>
      </c>
      <c r="L28" s="1">
        <f t="shared" si="16"/>
        <v>5</v>
      </c>
      <c r="M28" s="3">
        <f t="shared" si="17"/>
        <v>43.91</v>
      </c>
      <c r="N28" s="1" t="str">
        <f t="shared" si="18"/>
        <v>5:43.91 min/km</v>
      </c>
      <c r="O28" s="2" t="str">
        <f t="shared" si="19"/>
        <v>5:43.91 min/km</v>
      </c>
      <c r="P28" s="1" t="str">
        <f t="shared" si="8"/>
        <v>December</v>
      </c>
      <c r="Q28" s="47">
        <f>IF(COUNTA(C28)=1,(Table1[[#This Row],[min]]+(Table1[[#This Row],[sec]]/60))/1440, "")</f>
        <v>3.7384259259259263E-3</v>
      </c>
    </row>
    <row r="29" spans="1:17" x14ac:dyDescent="0.25">
      <c r="A29" s="1">
        <v>28</v>
      </c>
      <c r="B29" s="6">
        <v>45994</v>
      </c>
      <c r="C29" s="1">
        <v>532</v>
      </c>
      <c r="D29" s="1">
        <f t="shared" si="11"/>
        <v>32</v>
      </c>
      <c r="E29" s="1">
        <f t="shared" si="12"/>
        <v>5</v>
      </c>
      <c r="F29" s="1">
        <f>AVERAGE($E$2:E29)</f>
        <v>5.2142857142857144</v>
      </c>
      <c r="G29" s="1">
        <f t="shared" si="13"/>
        <v>0.214</v>
      </c>
      <c r="H29" s="1">
        <f t="shared" si="14"/>
        <v>12.84</v>
      </c>
      <c r="I29" s="1">
        <f>AVERAGE($D$2:D29)</f>
        <v>30.642857142857142</v>
      </c>
      <c r="J29" s="1">
        <f t="shared" si="15"/>
        <v>43.482857142857142</v>
      </c>
      <c r="K29" s="4" cm="1">
        <f t="array" ref="K29">_xlfn.IFS(J29&gt;60, J29-60, J29&lt;60, J29, J29=60, 0)</f>
        <v>43.482857142857142</v>
      </c>
      <c r="L29" s="1">
        <f t="shared" si="16"/>
        <v>5</v>
      </c>
      <c r="M29" s="3">
        <f t="shared" si="17"/>
        <v>43.48</v>
      </c>
      <c r="N29" s="1" t="str">
        <f t="shared" si="18"/>
        <v>5:43.48 min/km</v>
      </c>
      <c r="O29" s="2" t="str">
        <f t="shared" si="19"/>
        <v>5:43.48 min/km</v>
      </c>
      <c r="P29" s="1" t="str">
        <f t="shared" si="8"/>
        <v>December</v>
      </c>
      <c r="Q29" s="47">
        <f>IF(COUNTA(C29)=1,(Table1[[#This Row],[min]]+(Table1[[#This Row],[sec]]/60))/1440, "")</f>
        <v>3.8425925925925923E-3</v>
      </c>
    </row>
    <row r="30" spans="1:17" x14ac:dyDescent="0.25">
      <c r="A30" s="1">
        <v>29</v>
      </c>
      <c r="B30" s="6">
        <v>45995</v>
      </c>
      <c r="C30" s="1">
        <v>621</v>
      </c>
      <c r="D30" s="1">
        <f t="shared" si="11"/>
        <v>21</v>
      </c>
      <c r="E30" s="1">
        <f t="shared" si="12"/>
        <v>6</v>
      </c>
      <c r="F30" s="1">
        <f>AVERAGE($E$2:E30)</f>
        <v>5.2413793103448274</v>
      </c>
      <c r="G30" s="1">
        <f t="shared" si="13"/>
        <v>0.24099999999999999</v>
      </c>
      <c r="H30" s="1">
        <f t="shared" si="14"/>
        <v>14.459999999999999</v>
      </c>
      <c r="I30" s="1">
        <f>AVERAGE($D$2:D30)</f>
        <v>30.310344827586206</v>
      </c>
      <c r="J30" s="1">
        <f t="shared" si="15"/>
        <v>44.770344827586207</v>
      </c>
      <c r="K30" s="4" cm="1">
        <f t="array" ref="K30">_xlfn.IFS(J30&gt;60, J30-60, J30&lt;60, J30, J30=60, 0)</f>
        <v>44.770344827586207</v>
      </c>
      <c r="L30" s="1">
        <f t="shared" si="16"/>
        <v>5</v>
      </c>
      <c r="M30" s="3">
        <f t="shared" si="17"/>
        <v>44.77</v>
      </c>
      <c r="N30" s="1" t="str">
        <f t="shared" si="18"/>
        <v>5:44.77 min/km</v>
      </c>
      <c r="O30" s="2" t="str">
        <f t="shared" si="19"/>
        <v>5:44.77 min/km</v>
      </c>
      <c r="P30" s="1" t="str">
        <f t="shared" si="8"/>
        <v>December</v>
      </c>
      <c r="Q30" s="47">
        <f>IF(COUNTA(C30)=1,(Table1[[#This Row],[min]]+(Table1[[#This Row],[sec]]/60))/1440, "")</f>
        <v>4.409722222222222E-3</v>
      </c>
    </row>
    <row r="31" spans="1:17" x14ac:dyDescent="0.25">
      <c r="A31" s="1">
        <v>30</v>
      </c>
      <c r="B31" s="6">
        <v>45996</v>
      </c>
      <c r="C31" s="1">
        <v>625</v>
      </c>
      <c r="D31" s="1">
        <f t="shared" si="11"/>
        <v>25</v>
      </c>
      <c r="E31" s="1">
        <f t="shared" si="12"/>
        <v>6</v>
      </c>
      <c r="F31" s="1">
        <f>AVERAGE($E$2:E31)</f>
        <v>5.2666666666666666</v>
      </c>
      <c r="G31" s="1">
        <f t="shared" si="13"/>
        <v>0.26600000000000001</v>
      </c>
      <c r="H31" s="1">
        <f t="shared" si="14"/>
        <v>15.96</v>
      </c>
      <c r="I31" s="1">
        <f>AVERAGE($D$2:D31)</f>
        <v>30.133333333333333</v>
      </c>
      <c r="J31" s="1">
        <f t="shared" si="15"/>
        <v>46.093333333333334</v>
      </c>
      <c r="K31" s="4" cm="1">
        <f t="array" ref="K31">_xlfn.IFS(J31&gt;60, J31-60, J31&lt;60, J31, J31=60, 0)</f>
        <v>46.093333333333334</v>
      </c>
      <c r="L31" s="1">
        <f t="shared" si="16"/>
        <v>5</v>
      </c>
      <c r="M31" s="3">
        <f t="shared" si="17"/>
        <v>46.09</v>
      </c>
      <c r="N31" s="1" t="str">
        <f t="shared" si="18"/>
        <v>5:46.09 min/km</v>
      </c>
      <c r="O31" s="2" t="str">
        <f t="shared" si="19"/>
        <v>5:46.09 min/km</v>
      </c>
      <c r="P31" s="1" t="str">
        <f t="shared" si="8"/>
        <v>December</v>
      </c>
      <c r="Q31" s="47">
        <f>IF(COUNTA(C31)=1,(Table1[[#This Row],[min]]+(Table1[[#This Row],[sec]]/60))/1440, "")</f>
        <v>4.4560185185185189E-3</v>
      </c>
    </row>
    <row r="32" spans="1:17" x14ac:dyDescent="0.25">
      <c r="A32" s="1">
        <v>31</v>
      </c>
      <c r="B32" s="6">
        <v>45998</v>
      </c>
      <c r="C32" s="1">
        <v>558</v>
      </c>
      <c r="D32" s="1">
        <f t="shared" si="11"/>
        <v>58</v>
      </c>
      <c r="E32" s="1">
        <f t="shared" si="12"/>
        <v>5</v>
      </c>
      <c r="F32" s="1">
        <f>AVERAGE($E$2:E32)</f>
        <v>5.258064516129032</v>
      </c>
      <c r="G32" s="1">
        <f t="shared" si="13"/>
        <v>0.25800000000000001</v>
      </c>
      <c r="H32" s="1">
        <f t="shared" si="14"/>
        <v>15.48</v>
      </c>
      <c r="I32" s="1">
        <f>AVERAGE($D$2:D32)</f>
        <v>31.032258064516128</v>
      </c>
      <c r="J32" s="1">
        <f t="shared" si="15"/>
        <v>46.512258064516132</v>
      </c>
      <c r="K32" s="4" cm="1">
        <f t="array" ref="K32">_xlfn.IFS(J32&gt;60, J32-60, J32&lt;60, J32, J32=60, 0)</f>
        <v>46.512258064516132</v>
      </c>
      <c r="L32" s="1">
        <f t="shared" si="16"/>
        <v>5</v>
      </c>
      <c r="M32" s="3">
        <f t="shared" si="17"/>
        <v>46.51</v>
      </c>
      <c r="N32" s="1" t="str">
        <f t="shared" si="18"/>
        <v>5:46.51 min/km</v>
      </c>
      <c r="O32" s="2" t="str">
        <f t="shared" si="19"/>
        <v>5:46.51 min/km</v>
      </c>
      <c r="P32" s="1" t="str">
        <f t="shared" si="8"/>
        <v>December</v>
      </c>
      <c r="Q32" s="47">
        <f>IF(COUNTA(C32)=1,(Table1[[#This Row],[min]]+(Table1[[#This Row],[sec]]/60))/1440, "")</f>
        <v>4.1435185185185186E-3</v>
      </c>
    </row>
    <row r="33" spans="1:17" x14ac:dyDescent="0.25">
      <c r="A33" s="1">
        <v>32</v>
      </c>
      <c r="B33" s="6">
        <v>45999</v>
      </c>
      <c r="C33" s="1">
        <v>607</v>
      </c>
      <c r="D33" s="1">
        <f t="shared" si="11"/>
        <v>7</v>
      </c>
      <c r="E33" s="1">
        <f t="shared" si="12"/>
        <v>6</v>
      </c>
      <c r="F33" s="1">
        <f>AVERAGE($E$2:E33)</f>
        <v>5.28125</v>
      </c>
      <c r="G33" s="1">
        <f t="shared" si="13"/>
        <v>0.28100000000000003</v>
      </c>
      <c r="H33" s="1">
        <f t="shared" si="14"/>
        <v>16.860000000000003</v>
      </c>
      <c r="I33" s="1">
        <f>AVERAGE($D$2:D33)</f>
        <v>30.28125</v>
      </c>
      <c r="J33" s="1">
        <f t="shared" si="15"/>
        <v>47.141249999999999</v>
      </c>
      <c r="K33" s="4" cm="1">
        <f t="array" ref="K33">_xlfn.IFS(J33&gt;60, J33-60, J33&lt;60, J33, J33=60, 0)</f>
        <v>47.141249999999999</v>
      </c>
      <c r="L33" s="1">
        <f t="shared" si="16"/>
        <v>5</v>
      </c>
      <c r="M33" s="3">
        <f t="shared" si="17"/>
        <v>47.14</v>
      </c>
      <c r="N33" s="1" t="str">
        <f t="shared" si="18"/>
        <v>5:47.14 min/km</v>
      </c>
      <c r="O33" s="2" t="str">
        <f t="shared" si="19"/>
        <v>5:47.14 min/km</v>
      </c>
      <c r="P33" s="1" t="str">
        <f t="shared" si="8"/>
        <v>December</v>
      </c>
      <c r="Q33" s="47">
        <f>IF(COUNTA(C33)=1,(Table1[[#This Row],[min]]+(Table1[[#This Row],[sec]]/60))/1440, "")</f>
        <v>4.2476851851851851E-3</v>
      </c>
    </row>
    <row r="34" spans="1:17" x14ac:dyDescent="0.25">
      <c r="A34" s="1">
        <v>33</v>
      </c>
      <c r="B34" s="6">
        <v>46000</v>
      </c>
      <c r="C34" s="1">
        <v>551</v>
      </c>
      <c r="D34" s="1">
        <f t="shared" si="11"/>
        <v>51</v>
      </c>
      <c r="E34" s="1">
        <f t="shared" si="12"/>
        <v>5</v>
      </c>
      <c r="F34" s="1">
        <f>AVERAGE($E$2:E34)</f>
        <v>5.2727272727272725</v>
      </c>
      <c r="G34" s="1">
        <f t="shared" si="13"/>
        <v>0.27200000000000002</v>
      </c>
      <c r="H34" s="1">
        <f t="shared" si="14"/>
        <v>16.32</v>
      </c>
      <c r="I34" s="1">
        <f>AVERAGE($D$2:D34)</f>
        <v>30.90909090909091</v>
      </c>
      <c r="J34" s="1">
        <f t="shared" si="15"/>
        <v>47.229090909090914</v>
      </c>
      <c r="K34" s="4" cm="1">
        <f t="array" ref="K34">_xlfn.IFS(J34&gt;60, J34-60, J34&lt;60, J34, J34=60, 0)</f>
        <v>47.229090909090914</v>
      </c>
      <c r="L34" s="1">
        <f t="shared" si="16"/>
        <v>5</v>
      </c>
      <c r="M34" s="3">
        <f t="shared" si="17"/>
        <v>47.22</v>
      </c>
      <c r="N34" s="1" t="str">
        <f t="shared" si="18"/>
        <v>5:47.22 min/km</v>
      </c>
      <c r="O34" s="2" t="str">
        <f t="shared" si="19"/>
        <v>5:47.22 min/km</v>
      </c>
      <c r="P34" s="1" t="str">
        <f t="shared" si="8"/>
        <v>December</v>
      </c>
      <c r="Q34" s="47">
        <f>IF(COUNTA(C34)=1,(Table1[[#This Row],[min]]+(Table1[[#This Row],[sec]]/60))/1440, "")</f>
        <v>4.0625000000000001E-3</v>
      </c>
    </row>
    <row r="35" spans="1:17" x14ac:dyDescent="0.25">
      <c r="A35" s="1">
        <v>34</v>
      </c>
      <c r="B35" s="6">
        <v>46001</v>
      </c>
      <c r="C35" s="1">
        <v>550</v>
      </c>
      <c r="D35" s="1">
        <f t="shared" si="11"/>
        <v>50</v>
      </c>
      <c r="E35" s="1">
        <f t="shared" si="12"/>
        <v>5</v>
      </c>
      <c r="F35" s="1">
        <f>AVERAGE($E$2:E35)</f>
        <v>5.2647058823529411</v>
      </c>
      <c r="G35" s="1">
        <f t="shared" si="13"/>
        <v>0.26400000000000001</v>
      </c>
      <c r="H35" s="1">
        <f t="shared" si="14"/>
        <v>15.84</v>
      </c>
      <c r="I35" s="1">
        <f>AVERAGE($D$2:D35)</f>
        <v>31.470588235294116</v>
      </c>
      <c r="J35" s="1">
        <f t="shared" si="15"/>
        <v>47.310588235294119</v>
      </c>
      <c r="K35" s="4" cm="1">
        <f t="array" ref="K35">_xlfn.IFS(J35&gt;60, J35-60, J35&lt;60, J35, J35=60, 0)</f>
        <v>47.310588235294119</v>
      </c>
      <c r="L35" s="1">
        <f t="shared" si="16"/>
        <v>5</v>
      </c>
      <c r="M35" s="3">
        <f t="shared" si="17"/>
        <v>47.31</v>
      </c>
      <c r="N35" s="1" t="str">
        <f t="shared" si="18"/>
        <v>5:47.31 min/km</v>
      </c>
      <c r="O35" s="2" t="str">
        <f t="shared" si="19"/>
        <v>5:47.31 min/km</v>
      </c>
      <c r="P35" s="1" t="str">
        <f t="shared" si="8"/>
        <v>December</v>
      </c>
      <c r="Q35" s="47">
        <f>IF(COUNTA(C35)=1,(Table1[[#This Row],[min]]+(Table1[[#This Row],[sec]]/60))/1440, "")</f>
        <v>4.0509259259259257E-3</v>
      </c>
    </row>
    <row r="36" spans="1:17" x14ac:dyDescent="0.25">
      <c r="A36" s="1">
        <v>35</v>
      </c>
      <c r="B36" s="6">
        <v>46002</v>
      </c>
      <c r="C36" s="1">
        <v>541</v>
      </c>
      <c r="D36" s="1">
        <f t="shared" si="11"/>
        <v>41</v>
      </c>
      <c r="E36" s="1">
        <f t="shared" si="12"/>
        <v>5</v>
      </c>
      <c r="F36" s="1">
        <f>AVERAGE($E$2:E36)</f>
        <v>5.2571428571428571</v>
      </c>
      <c r="G36" s="1">
        <f t="shared" si="13"/>
        <v>0.25700000000000001</v>
      </c>
      <c r="H36" s="1">
        <f t="shared" si="14"/>
        <v>15.42</v>
      </c>
      <c r="I36" s="1">
        <f>AVERAGE($D$2:D36)</f>
        <v>31.742857142857144</v>
      </c>
      <c r="J36" s="1">
        <f t="shared" si="15"/>
        <v>47.162857142857142</v>
      </c>
      <c r="K36" s="4" cm="1">
        <f t="array" ref="K36">_xlfn.IFS(J36&gt;60, J36-60, J36&lt;60, J36, J36=60, 0)</f>
        <v>47.162857142857142</v>
      </c>
      <c r="L36" s="1">
        <f t="shared" si="16"/>
        <v>5</v>
      </c>
      <c r="M36" s="3">
        <f t="shared" si="17"/>
        <v>47.16</v>
      </c>
      <c r="N36" s="1" t="str">
        <f t="shared" si="18"/>
        <v>5:47.16 min/km</v>
      </c>
      <c r="O36" s="2" t="str">
        <f t="shared" si="19"/>
        <v>5:47.16 min/km</v>
      </c>
      <c r="P36" s="1" t="str">
        <f t="shared" si="8"/>
        <v>December</v>
      </c>
      <c r="Q36" s="47">
        <f>IF(COUNTA(C36)=1,(Table1[[#This Row],[min]]+(Table1[[#This Row],[sec]]/60))/1440, "")</f>
        <v>3.9467592592592592E-3</v>
      </c>
    </row>
    <row r="37" spans="1:17" x14ac:dyDescent="0.25">
      <c r="A37" s="1">
        <v>36</v>
      </c>
      <c r="B37" s="6">
        <v>46003</v>
      </c>
      <c r="C37" s="1">
        <v>615</v>
      </c>
      <c r="D37" s="1">
        <f t="shared" si="11"/>
        <v>15</v>
      </c>
      <c r="E37" s="1">
        <f t="shared" si="12"/>
        <v>6</v>
      </c>
      <c r="F37" s="1">
        <f>AVERAGE($E$2:E37)</f>
        <v>5.2777777777777777</v>
      </c>
      <c r="G37" s="1">
        <f t="shared" si="13"/>
        <v>0.27700000000000002</v>
      </c>
      <c r="H37" s="1">
        <f t="shared" si="14"/>
        <v>16.62</v>
      </c>
      <c r="I37" s="1">
        <f>AVERAGE($D$2:D37)</f>
        <v>31.277777777777779</v>
      </c>
      <c r="J37" s="1">
        <f t="shared" si="15"/>
        <v>47.897777777777776</v>
      </c>
      <c r="K37" s="4" cm="1">
        <f t="array" ref="K37">_xlfn.IFS(J37&gt;60, J37-60, J37&lt;60, J37, J37=60, 0)</f>
        <v>47.897777777777776</v>
      </c>
      <c r="L37" s="1">
        <f t="shared" si="16"/>
        <v>5</v>
      </c>
      <c r="M37" s="3">
        <f t="shared" si="17"/>
        <v>47.89</v>
      </c>
      <c r="N37" s="1" t="str">
        <f t="shared" si="18"/>
        <v>5:47.89 min/km</v>
      </c>
      <c r="O37" s="2" t="str">
        <f t="shared" si="19"/>
        <v>5:47.89 min/km</v>
      </c>
      <c r="P37" s="1" t="str">
        <f t="shared" si="8"/>
        <v>December</v>
      </c>
      <c r="Q37" s="47">
        <f>IF(COUNTA(C37)=1,(Table1[[#This Row],[min]]+(Table1[[#This Row],[sec]]/60))/1440, "")</f>
        <v>4.340277777777778E-3</v>
      </c>
    </row>
    <row r="38" spans="1:17" x14ac:dyDescent="0.25">
      <c r="A38" s="1">
        <v>37</v>
      </c>
      <c r="B38" s="6">
        <v>46004</v>
      </c>
      <c r="C38" s="1">
        <v>611</v>
      </c>
      <c r="D38" s="1">
        <f t="shared" si="11"/>
        <v>11</v>
      </c>
      <c r="E38" s="1">
        <f t="shared" si="12"/>
        <v>6</v>
      </c>
      <c r="F38" s="1">
        <f>AVERAGE($E$2:E38)</f>
        <v>5.2972972972972974</v>
      </c>
      <c r="G38" s="1">
        <f t="shared" si="13"/>
        <v>0.29699999999999999</v>
      </c>
      <c r="H38" s="1">
        <f t="shared" si="14"/>
        <v>17.82</v>
      </c>
      <c r="I38" s="1">
        <f>AVERAGE($D$2:D38)</f>
        <v>30.72972972972973</v>
      </c>
      <c r="J38" s="1">
        <f t="shared" si="15"/>
        <v>48.549729729729734</v>
      </c>
      <c r="K38" s="4" cm="1">
        <f t="array" ref="K38">_xlfn.IFS(J38&gt;60, J38-60, J38&lt;60, J38, J38=60, 0)</f>
        <v>48.549729729729734</v>
      </c>
      <c r="L38" s="1">
        <f t="shared" si="16"/>
        <v>5</v>
      </c>
      <c r="M38" s="3">
        <f t="shared" si="17"/>
        <v>48.54</v>
      </c>
      <c r="N38" s="1" t="str">
        <f t="shared" si="18"/>
        <v>5:48.54 min/km</v>
      </c>
      <c r="O38" s="2" t="str">
        <f t="shared" si="19"/>
        <v>5:48.54 min/km</v>
      </c>
      <c r="P38" s="1" t="str">
        <f t="shared" si="8"/>
        <v>December</v>
      </c>
      <c r="Q38" s="47">
        <f>IF(COUNTA(C38)=1,(Table1[[#This Row],[min]]+(Table1[[#This Row],[sec]]/60))/1440, "")</f>
        <v>4.293981481481482E-3</v>
      </c>
    </row>
    <row r="39" spans="1:17" x14ac:dyDescent="0.25">
      <c r="A39" s="1">
        <v>38</v>
      </c>
      <c r="B39" s="6">
        <v>46005</v>
      </c>
      <c r="C39" s="1">
        <v>542</v>
      </c>
      <c r="D39" s="1">
        <f t="shared" si="11"/>
        <v>42</v>
      </c>
      <c r="E39" s="1">
        <f t="shared" si="12"/>
        <v>5</v>
      </c>
      <c r="F39" s="1">
        <f>AVERAGE($E$2:E39)</f>
        <v>5.2894736842105265</v>
      </c>
      <c r="G39" s="1">
        <f t="shared" si="13"/>
        <v>0.28899999999999998</v>
      </c>
      <c r="H39" s="1">
        <f t="shared" si="14"/>
        <v>17.34</v>
      </c>
      <c r="I39" s="1">
        <f>AVERAGE($D$2:D39)</f>
        <v>31.026315789473685</v>
      </c>
      <c r="J39" s="1">
        <f t="shared" si="15"/>
        <v>48.366315789473688</v>
      </c>
      <c r="K39" s="4" cm="1">
        <f t="array" ref="K39">_xlfn.IFS(J39&gt;60, J39-60, J39&lt;60, J39, J39=60, 0)</f>
        <v>48.366315789473688</v>
      </c>
      <c r="L39" s="1">
        <f t="shared" si="16"/>
        <v>5</v>
      </c>
      <c r="M39" s="3">
        <f t="shared" si="17"/>
        <v>48.36</v>
      </c>
      <c r="N39" s="1" t="str">
        <f t="shared" si="18"/>
        <v>5:48.36 min/km</v>
      </c>
      <c r="O39" s="2" t="str">
        <f t="shared" si="19"/>
        <v>5:48.36 min/km</v>
      </c>
      <c r="P39" s="1" t="str">
        <f t="shared" si="8"/>
        <v>December</v>
      </c>
      <c r="Q39" s="47">
        <f>IF(COUNTA(C39)=1,(Table1[[#This Row],[min]]+(Table1[[#This Row],[sec]]/60))/1440, "")</f>
        <v>3.9583333333333337E-3</v>
      </c>
    </row>
    <row r="40" spans="1:17" x14ac:dyDescent="0.25">
      <c r="A40" s="1">
        <v>39</v>
      </c>
      <c r="B40" s="6">
        <v>46006</v>
      </c>
      <c r="C40" s="1">
        <v>606</v>
      </c>
      <c r="D40" s="1">
        <f t="shared" si="11"/>
        <v>6</v>
      </c>
      <c r="E40" s="1">
        <f t="shared" si="12"/>
        <v>6</v>
      </c>
      <c r="F40" s="1">
        <f>AVERAGE($E$2:E40)</f>
        <v>5.3076923076923075</v>
      </c>
      <c r="G40" s="1">
        <f t="shared" si="13"/>
        <v>0.307</v>
      </c>
      <c r="H40" s="1">
        <f t="shared" si="14"/>
        <v>18.419999999999998</v>
      </c>
      <c r="I40" s="1">
        <f>AVERAGE($D$2:D40)</f>
        <v>30.384615384615383</v>
      </c>
      <c r="J40" s="1">
        <f t="shared" si="15"/>
        <v>48.804615384615381</v>
      </c>
      <c r="K40" s="4" cm="1">
        <f t="array" ref="K40">_xlfn.IFS(J40&gt;60, J40-60, J40&lt;60, J40, J40=60, 0)</f>
        <v>48.804615384615381</v>
      </c>
      <c r="L40" s="1">
        <f t="shared" si="16"/>
        <v>5</v>
      </c>
      <c r="M40" s="3">
        <f t="shared" si="17"/>
        <v>48.8</v>
      </c>
      <c r="N40" s="1" t="str">
        <f t="shared" si="18"/>
        <v>5:48.8 min/km</v>
      </c>
      <c r="O40" s="2" t="str">
        <f t="shared" si="19"/>
        <v>5:48.8 min/km</v>
      </c>
      <c r="P40" s="1" t="str">
        <f t="shared" si="8"/>
        <v>December</v>
      </c>
      <c r="Q40" s="47">
        <f>IF(COUNTA(C40)=1,(Table1[[#This Row],[min]]+(Table1[[#This Row],[sec]]/60))/1440, "")</f>
        <v>4.2361111111111106E-3</v>
      </c>
    </row>
    <row r="41" spans="1:17" x14ac:dyDescent="0.25">
      <c r="A41" s="1">
        <v>40</v>
      </c>
      <c r="B41" s="6">
        <v>46007</v>
      </c>
      <c r="C41" s="1">
        <v>543</v>
      </c>
      <c r="D41" s="1">
        <f t="shared" si="11"/>
        <v>43</v>
      </c>
      <c r="E41" s="1">
        <f t="shared" si="12"/>
        <v>5</v>
      </c>
      <c r="F41" s="1">
        <f>AVERAGE($E$2:E41)</f>
        <v>5.3</v>
      </c>
      <c r="G41" s="1">
        <f t="shared" si="13"/>
        <v>0.3</v>
      </c>
      <c r="H41" s="1">
        <f t="shared" si="14"/>
        <v>18</v>
      </c>
      <c r="I41" s="1">
        <f>AVERAGE($D$2:D41)</f>
        <v>30.7</v>
      </c>
      <c r="J41" s="1">
        <f t="shared" si="15"/>
        <v>48.7</v>
      </c>
      <c r="K41" s="4" cm="1">
        <f t="array" ref="K41">_xlfn.IFS(J41&gt;60, J41-60, J41&lt;60, J41, J41=60, 0)</f>
        <v>48.7</v>
      </c>
      <c r="L41" s="1">
        <f t="shared" si="16"/>
        <v>5</v>
      </c>
      <c r="M41" s="3">
        <f t="shared" si="17"/>
        <v>48.7</v>
      </c>
      <c r="N41" s="1" t="str">
        <f t="shared" si="18"/>
        <v>5:48.7 min/km</v>
      </c>
      <c r="O41" s="2" t="str">
        <f t="shared" si="19"/>
        <v>5:48.7 min/km</v>
      </c>
      <c r="P41" s="1" t="str">
        <f t="shared" si="8"/>
        <v>December</v>
      </c>
      <c r="Q41" s="47">
        <f>IF(COUNTA(C41)=1,(Table1[[#This Row],[min]]+(Table1[[#This Row],[sec]]/60))/1440, "")</f>
        <v>3.9699074074074072E-3</v>
      </c>
    </row>
    <row r="42" spans="1:17" x14ac:dyDescent="0.25">
      <c r="A42" s="1">
        <v>41</v>
      </c>
      <c r="B42" s="6">
        <v>46008</v>
      </c>
      <c r="C42" s="1">
        <v>544</v>
      </c>
      <c r="D42" s="1">
        <f t="shared" si="11"/>
        <v>44</v>
      </c>
      <c r="E42" s="1">
        <f t="shared" si="12"/>
        <v>5</v>
      </c>
      <c r="F42" s="1">
        <f>AVERAGE($E$2:E42)</f>
        <v>5.2926829268292686</v>
      </c>
      <c r="G42" s="1">
        <f t="shared" si="13"/>
        <v>0.29199999999999998</v>
      </c>
      <c r="H42" s="1">
        <f t="shared" si="14"/>
        <v>17.52</v>
      </c>
      <c r="I42" s="1">
        <f>AVERAGE($D$2:D42)</f>
        <v>31.024390243902438</v>
      </c>
      <c r="J42" s="1">
        <f t="shared" si="15"/>
        <v>48.544390243902441</v>
      </c>
      <c r="K42" s="4" cm="1">
        <f t="array" ref="K42">_xlfn.IFS(J42&gt;60, J42-60, J42&lt;60, J42, J42=60, 0)</f>
        <v>48.544390243902441</v>
      </c>
      <c r="L42" s="1">
        <f t="shared" si="16"/>
        <v>5</v>
      </c>
      <c r="M42" s="3">
        <f t="shared" si="17"/>
        <v>48.54</v>
      </c>
      <c r="N42" s="1" t="str">
        <f t="shared" si="18"/>
        <v>5:48.54 min/km</v>
      </c>
      <c r="O42" s="2" t="str">
        <f t="shared" si="19"/>
        <v>5:48.54 min/km</v>
      </c>
      <c r="P42" s="1" t="str">
        <f t="shared" si="8"/>
        <v>December</v>
      </c>
      <c r="Q42" s="47">
        <f>IF(COUNTA(C42)=1,(Table1[[#This Row],[min]]+(Table1[[#This Row],[sec]]/60))/1440, "")</f>
        <v>3.9814814814814817E-3</v>
      </c>
    </row>
    <row r="43" spans="1:17" x14ac:dyDescent="0.25">
      <c r="A43" s="1">
        <v>42</v>
      </c>
      <c r="B43" s="6">
        <v>46009</v>
      </c>
      <c r="C43" s="1">
        <v>545</v>
      </c>
      <c r="D43" s="1">
        <f t="shared" si="11"/>
        <v>45</v>
      </c>
      <c r="E43" s="1">
        <f t="shared" si="12"/>
        <v>5</v>
      </c>
      <c r="F43" s="1">
        <f>AVERAGE($E$2:E43)</f>
        <v>5.2857142857142856</v>
      </c>
      <c r="G43" s="1">
        <f t="shared" si="13"/>
        <v>0.28499999999999998</v>
      </c>
      <c r="H43" s="1">
        <f t="shared" si="14"/>
        <v>17.099999999999998</v>
      </c>
      <c r="I43" s="1">
        <f>AVERAGE($D$2:D43)</f>
        <v>31.357142857142858</v>
      </c>
      <c r="J43" s="1">
        <f t="shared" si="15"/>
        <v>48.457142857142856</v>
      </c>
      <c r="K43" s="4" cm="1">
        <f t="array" ref="K43">_xlfn.IFS(J43&gt;60, J43-60, J43&lt;60, J43, J43=60, 0)</f>
        <v>48.457142857142856</v>
      </c>
      <c r="L43" s="1">
        <f t="shared" si="16"/>
        <v>5</v>
      </c>
      <c r="M43" s="3">
        <f t="shared" si="17"/>
        <v>48.45</v>
      </c>
      <c r="N43" s="1" t="str">
        <f t="shared" si="18"/>
        <v>5:48.45 min/km</v>
      </c>
      <c r="O43" s="2" t="str">
        <f t="shared" si="19"/>
        <v>5:48.45 min/km</v>
      </c>
      <c r="P43" s="1" t="str">
        <f t="shared" si="8"/>
        <v>December</v>
      </c>
      <c r="Q43" s="47">
        <f>IF(COUNTA(C43)=1,(Table1[[#This Row],[min]]+(Table1[[#This Row],[sec]]/60))/1440, "")</f>
        <v>3.9930555555555552E-3</v>
      </c>
    </row>
    <row r="44" spans="1:17" x14ac:dyDescent="0.25">
      <c r="A44" s="1">
        <v>43</v>
      </c>
      <c r="B44" s="6">
        <v>46010</v>
      </c>
      <c r="C44" s="1">
        <v>603</v>
      </c>
      <c r="D44" s="1">
        <f t="shared" ref="D44:D64" si="20">VALUE(RIGHT(C44, 2))</f>
        <v>3</v>
      </c>
      <c r="E44" s="1">
        <f t="shared" ref="E44:E64" si="21">VALUE(LEFT(C44,1))</f>
        <v>6</v>
      </c>
      <c r="F44" s="1">
        <f>AVERAGE($E$2:E44)</f>
        <v>5.3023255813953485</v>
      </c>
      <c r="G44" s="1">
        <f t="shared" ref="G44:G64" si="22">IF(INT(F44)=F44,0,VALUE(MID(F44,2,4)))</f>
        <v>0.30199999999999999</v>
      </c>
      <c r="H44" s="1">
        <f t="shared" ref="H44:H64" si="23">G44*60</f>
        <v>18.12</v>
      </c>
      <c r="I44" s="1">
        <f>AVERAGE($D$2:D44)</f>
        <v>30.697674418604652</v>
      </c>
      <c r="J44" s="1">
        <f t="shared" ref="J44:J64" si="24">H44+I44</f>
        <v>48.817674418604653</v>
      </c>
      <c r="K44" s="4" cm="1">
        <f t="array" ref="K44">_xlfn.IFS(J44&gt;60, J44-60, J44&lt;60, J44, J44=60, 0)</f>
        <v>48.817674418604653</v>
      </c>
      <c r="L44" s="1">
        <f t="shared" ref="L44:L64" si="25">IF(J44&gt;60, 1 + VALUE(LEFT(F44,1)), VALUE(LEFT(F44,1)))</f>
        <v>5</v>
      </c>
      <c r="M44" s="3">
        <f t="shared" ref="M44:M64" si="26" xml:space="preserve"> VALUE(LEFT(K44,5))</f>
        <v>48.81</v>
      </c>
      <c r="N44" s="1" t="str">
        <f t="shared" ref="N44:N64" si="27">IF(K44&lt;10, CONCATENATE(L44, ":", 0, M44, " min/km"), CONCATENATE(L44, ":", M44, " min/km"))</f>
        <v>5:48.81 min/km</v>
      </c>
      <c r="O44" s="2" t="str">
        <f t="shared" ref="O44:O64" si="28">IF(COUNT(C44)=1, N44, "")</f>
        <v>5:48.81 min/km</v>
      </c>
      <c r="P44" s="1" t="str">
        <f t="shared" si="8"/>
        <v>December</v>
      </c>
      <c r="Q44" s="47">
        <f>IF(COUNTA(C44)=1,(Table1[[#This Row],[min]]+(Table1[[#This Row],[sec]]/60))/1440, "")</f>
        <v>4.2013888888888891E-3</v>
      </c>
    </row>
    <row r="45" spans="1:17" x14ac:dyDescent="0.25">
      <c r="A45" s="1">
        <v>44</v>
      </c>
      <c r="B45" s="6">
        <v>46012</v>
      </c>
      <c r="C45" s="1">
        <v>537</v>
      </c>
      <c r="D45" s="1">
        <f t="shared" si="20"/>
        <v>37</v>
      </c>
      <c r="E45" s="1">
        <f t="shared" si="21"/>
        <v>5</v>
      </c>
      <c r="F45" s="1">
        <f>AVERAGE($E$2:E45)</f>
        <v>5.2954545454545459</v>
      </c>
      <c r="G45" s="1">
        <f t="shared" si="22"/>
        <v>0.29499999999999998</v>
      </c>
      <c r="H45" s="1">
        <f t="shared" si="23"/>
        <v>17.7</v>
      </c>
      <c r="I45" s="1">
        <f>AVERAGE($D$2:D45)</f>
        <v>30.84090909090909</v>
      </c>
      <c r="J45" s="1">
        <f t="shared" si="24"/>
        <v>48.540909090909089</v>
      </c>
      <c r="K45" s="4" cm="1">
        <f t="array" ref="K45">_xlfn.IFS(J45&gt;60, J45-60, J45&lt;60, J45, J45=60, 0)</f>
        <v>48.540909090909089</v>
      </c>
      <c r="L45" s="1">
        <f t="shared" si="25"/>
        <v>5</v>
      </c>
      <c r="M45" s="3">
        <f t="shared" si="26"/>
        <v>48.54</v>
      </c>
      <c r="N45" s="1" t="str">
        <f t="shared" si="27"/>
        <v>5:48.54 min/km</v>
      </c>
      <c r="O45" s="2" t="str">
        <f t="shared" si="28"/>
        <v>5:48.54 min/km</v>
      </c>
      <c r="P45" s="1" t="str">
        <f t="shared" si="8"/>
        <v>December</v>
      </c>
      <c r="Q45" s="47">
        <f>IF(COUNTA(C45)=1,(Table1[[#This Row],[min]]+(Table1[[#This Row],[sec]]/60))/1440, "")</f>
        <v>3.9004629629629632E-3</v>
      </c>
    </row>
    <row r="46" spans="1:17" x14ac:dyDescent="0.25">
      <c r="A46" s="1">
        <v>45</v>
      </c>
      <c r="B46" s="6">
        <v>46013</v>
      </c>
      <c r="C46" s="1">
        <v>620</v>
      </c>
      <c r="D46" s="1">
        <f t="shared" si="20"/>
        <v>20</v>
      </c>
      <c r="E46" s="1">
        <f t="shared" si="21"/>
        <v>6</v>
      </c>
      <c r="F46" s="1">
        <f>AVERAGE($E$2:E46)</f>
        <v>5.3111111111111109</v>
      </c>
      <c r="G46" s="1">
        <f t="shared" si="22"/>
        <v>0.311</v>
      </c>
      <c r="H46" s="1">
        <f t="shared" si="23"/>
        <v>18.66</v>
      </c>
      <c r="I46" s="1">
        <f>AVERAGE($D$2:D46)</f>
        <v>30.6</v>
      </c>
      <c r="J46" s="1">
        <f t="shared" si="24"/>
        <v>49.260000000000005</v>
      </c>
      <c r="K46" s="4" cm="1">
        <f t="array" ref="K46">_xlfn.IFS(J46&gt;60, J46-60, J46&lt;60, J46, J46=60, 0)</f>
        <v>49.260000000000005</v>
      </c>
      <c r="L46" s="1">
        <f t="shared" si="25"/>
        <v>5</v>
      </c>
      <c r="M46" s="3">
        <f t="shared" si="26"/>
        <v>49.26</v>
      </c>
      <c r="N46" s="1" t="str">
        <f t="shared" si="27"/>
        <v>5:49.26 min/km</v>
      </c>
      <c r="O46" s="2" t="str">
        <f t="shared" si="28"/>
        <v>5:49.26 min/km</v>
      </c>
      <c r="P46" s="1" t="str">
        <f t="shared" si="8"/>
        <v>December</v>
      </c>
      <c r="Q46" s="47">
        <f>IF(COUNTA(C46)=1,(Table1[[#This Row],[min]]+(Table1[[#This Row],[sec]]/60))/1440, "")</f>
        <v>4.3981481481481476E-3</v>
      </c>
    </row>
    <row r="47" spans="1:17" x14ac:dyDescent="0.25">
      <c r="A47" s="1">
        <v>46</v>
      </c>
      <c r="B47" s="6">
        <v>46014</v>
      </c>
      <c r="C47" s="1">
        <v>611</v>
      </c>
      <c r="D47" s="1">
        <f t="shared" si="20"/>
        <v>11</v>
      </c>
      <c r="E47" s="1">
        <f t="shared" si="21"/>
        <v>6</v>
      </c>
      <c r="F47" s="1">
        <f>AVERAGE($E$2:E47)</f>
        <v>5.3260869565217392</v>
      </c>
      <c r="G47" s="1">
        <f t="shared" si="22"/>
        <v>0.32600000000000001</v>
      </c>
      <c r="H47" s="1">
        <f t="shared" si="23"/>
        <v>19.560000000000002</v>
      </c>
      <c r="I47" s="1">
        <f>AVERAGE($D$2:D47)</f>
        <v>30.173913043478262</v>
      </c>
      <c r="J47" s="1">
        <f t="shared" si="24"/>
        <v>49.733913043478267</v>
      </c>
      <c r="K47" s="4" cm="1">
        <f t="array" ref="K47">_xlfn.IFS(J47&gt;60, J47-60, J47&lt;60, J47, J47=60, 0)</f>
        <v>49.733913043478267</v>
      </c>
      <c r="L47" s="1">
        <f t="shared" si="25"/>
        <v>5</v>
      </c>
      <c r="M47" s="3">
        <f t="shared" si="26"/>
        <v>49.73</v>
      </c>
      <c r="N47" s="1" t="str">
        <f t="shared" si="27"/>
        <v>5:49.73 min/km</v>
      </c>
      <c r="O47" s="2" t="str">
        <f t="shared" si="28"/>
        <v>5:49.73 min/km</v>
      </c>
      <c r="P47" s="1" t="str">
        <f t="shared" si="8"/>
        <v>December</v>
      </c>
      <c r="Q47" s="47">
        <f>IF(COUNTA(C47)=1,(Table1[[#This Row],[min]]+(Table1[[#This Row],[sec]]/60))/1440, "")</f>
        <v>4.293981481481482E-3</v>
      </c>
    </row>
    <row r="48" spans="1:17" x14ac:dyDescent="0.25">
      <c r="A48" s="1">
        <v>47</v>
      </c>
      <c r="B48" s="6">
        <v>46015</v>
      </c>
      <c r="C48" s="1">
        <v>542</v>
      </c>
      <c r="D48" s="1">
        <f t="shared" si="20"/>
        <v>42</v>
      </c>
      <c r="E48" s="1">
        <f t="shared" si="21"/>
        <v>5</v>
      </c>
      <c r="F48" s="1">
        <f>AVERAGE($E$2:E48)</f>
        <v>5.3191489361702127</v>
      </c>
      <c r="G48" s="1">
        <f t="shared" si="22"/>
        <v>0.31900000000000001</v>
      </c>
      <c r="H48" s="1">
        <f t="shared" si="23"/>
        <v>19.14</v>
      </c>
      <c r="I48" s="1">
        <f>AVERAGE($D$2:D48)</f>
        <v>30.425531914893618</v>
      </c>
      <c r="J48" s="1">
        <f t="shared" si="24"/>
        <v>49.565531914893619</v>
      </c>
      <c r="K48" s="4" cm="1">
        <f t="array" ref="K48">_xlfn.IFS(J48&gt;60, J48-60, J48&lt;60, J48, J48=60, 0)</f>
        <v>49.565531914893619</v>
      </c>
      <c r="L48" s="1">
        <f t="shared" si="25"/>
        <v>5</v>
      </c>
      <c r="M48" s="3">
        <f t="shared" si="26"/>
        <v>49.56</v>
      </c>
      <c r="N48" s="1" t="str">
        <f t="shared" si="27"/>
        <v>5:49.56 min/km</v>
      </c>
      <c r="O48" s="2" t="str">
        <f t="shared" si="28"/>
        <v>5:49.56 min/km</v>
      </c>
      <c r="P48" s="1" t="str">
        <f t="shared" si="8"/>
        <v>December</v>
      </c>
      <c r="Q48" s="47">
        <f>IF(COUNTA(C48)=1,(Table1[[#This Row],[min]]+(Table1[[#This Row],[sec]]/60))/1440, "")</f>
        <v>3.9583333333333337E-3</v>
      </c>
    </row>
    <row r="49" spans="1:21" x14ac:dyDescent="0.25">
      <c r="A49" s="1">
        <v>48</v>
      </c>
      <c r="B49" s="6">
        <v>46016</v>
      </c>
      <c r="C49" s="1">
        <v>559</v>
      </c>
      <c r="D49" s="1">
        <f t="shared" si="20"/>
        <v>59</v>
      </c>
      <c r="E49" s="1">
        <f t="shared" si="21"/>
        <v>5</v>
      </c>
      <c r="F49" s="1">
        <f>AVERAGE($E$2:E49)</f>
        <v>5.3125</v>
      </c>
      <c r="G49" s="1">
        <f t="shared" si="22"/>
        <v>0.312</v>
      </c>
      <c r="H49" s="1">
        <f t="shared" si="23"/>
        <v>18.72</v>
      </c>
      <c r="I49" s="1">
        <f>AVERAGE($D$2:D49)</f>
        <v>31.020833333333332</v>
      </c>
      <c r="J49" s="1">
        <f t="shared" si="24"/>
        <v>49.740833333333327</v>
      </c>
      <c r="K49" s="4" cm="1">
        <f t="array" ref="K49">_xlfn.IFS(J49&gt;60, J49-60, J49&lt;60, J49, J49=60, 0)</f>
        <v>49.740833333333327</v>
      </c>
      <c r="L49" s="1">
        <f t="shared" si="25"/>
        <v>5</v>
      </c>
      <c r="M49" s="3">
        <f t="shared" si="26"/>
        <v>49.74</v>
      </c>
      <c r="N49" s="1" t="str">
        <f t="shared" si="27"/>
        <v>5:49.74 min/km</v>
      </c>
      <c r="O49" s="2" t="str">
        <f t="shared" si="28"/>
        <v>5:49.74 min/km</v>
      </c>
      <c r="P49" s="1" t="str">
        <f t="shared" si="8"/>
        <v>December</v>
      </c>
      <c r="Q49" s="47">
        <f>IF(COUNTA(C49)=1,(Table1[[#This Row],[min]]+(Table1[[#This Row],[sec]]/60))/1440, "")</f>
        <v>4.155092592592593E-3</v>
      </c>
    </row>
    <row r="50" spans="1:21" x14ac:dyDescent="0.25">
      <c r="A50" s="1">
        <v>49</v>
      </c>
      <c r="B50" s="6">
        <v>46017</v>
      </c>
      <c r="C50" s="1">
        <v>537</v>
      </c>
      <c r="D50" s="1">
        <f t="shared" si="20"/>
        <v>37</v>
      </c>
      <c r="E50" s="1">
        <f t="shared" si="21"/>
        <v>5</v>
      </c>
      <c r="F50" s="1">
        <f>AVERAGE($E$2:E50)</f>
        <v>5.3061224489795915</v>
      </c>
      <c r="G50" s="1">
        <f t="shared" si="22"/>
        <v>0.30599999999999999</v>
      </c>
      <c r="H50" s="1">
        <f t="shared" si="23"/>
        <v>18.36</v>
      </c>
      <c r="I50" s="1">
        <f>AVERAGE($D$2:D50)</f>
        <v>31.142857142857142</v>
      </c>
      <c r="J50" s="1">
        <f t="shared" si="24"/>
        <v>49.502857142857138</v>
      </c>
      <c r="K50" s="4" cm="1">
        <f t="array" ref="K50">_xlfn.IFS(J50&gt;60, J50-60, J50&lt;60, J50, J50=60, 0)</f>
        <v>49.502857142857138</v>
      </c>
      <c r="L50" s="1">
        <f t="shared" si="25"/>
        <v>5</v>
      </c>
      <c r="M50" s="3">
        <f t="shared" si="26"/>
        <v>49.5</v>
      </c>
      <c r="N50" s="1" t="str">
        <f t="shared" si="27"/>
        <v>5:49.5 min/km</v>
      </c>
      <c r="O50" s="2" t="str">
        <f t="shared" si="28"/>
        <v>5:49.5 min/km</v>
      </c>
      <c r="P50" s="1" t="str">
        <f t="shared" si="8"/>
        <v>December</v>
      </c>
      <c r="Q50" s="47">
        <f>IF(COUNTA(C50)=1,(Table1[[#This Row],[min]]+(Table1[[#This Row],[sec]]/60))/1440, "")</f>
        <v>3.9004629629629632E-3</v>
      </c>
      <c r="U50" s="48"/>
    </row>
    <row r="51" spans="1:21" x14ac:dyDescent="0.25">
      <c r="A51" s="1">
        <v>50</v>
      </c>
      <c r="B51" s="6">
        <v>46018</v>
      </c>
      <c r="C51" s="1">
        <v>541</v>
      </c>
      <c r="D51" s="1">
        <f t="shared" si="20"/>
        <v>41</v>
      </c>
      <c r="E51" s="1">
        <f t="shared" si="21"/>
        <v>5</v>
      </c>
      <c r="F51" s="1">
        <f>AVERAGE($E$2:E51)</f>
        <v>5.3</v>
      </c>
      <c r="G51" s="1">
        <f t="shared" si="22"/>
        <v>0.3</v>
      </c>
      <c r="H51" s="1">
        <f t="shared" si="23"/>
        <v>18</v>
      </c>
      <c r="I51" s="1">
        <f>AVERAGE($D$2:D51)</f>
        <v>31.34</v>
      </c>
      <c r="J51" s="1">
        <f t="shared" si="24"/>
        <v>49.34</v>
      </c>
      <c r="K51" s="4" cm="1">
        <f t="array" ref="K51">_xlfn.IFS(J51&gt;60, J51-60, J51&lt;60, J51, J51=60, 0)</f>
        <v>49.34</v>
      </c>
      <c r="L51" s="1">
        <f t="shared" si="25"/>
        <v>5</v>
      </c>
      <c r="M51" s="3">
        <f t="shared" si="26"/>
        <v>49.34</v>
      </c>
      <c r="N51" s="1" t="str">
        <f t="shared" si="27"/>
        <v>5:49.34 min/km</v>
      </c>
      <c r="O51" s="2" t="str">
        <f t="shared" si="28"/>
        <v>5:49.34 min/km</v>
      </c>
      <c r="P51" s="1" t="str">
        <f t="shared" si="8"/>
        <v>December</v>
      </c>
      <c r="Q51" s="47">
        <f>IF(COUNTA(C51)=1,(Table1[[#This Row],[min]]+(Table1[[#This Row],[sec]]/60))/1440, "")</f>
        <v>3.9467592592592592E-3</v>
      </c>
    </row>
    <row r="52" spans="1:21" x14ac:dyDescent="0.25">
      <c r="A52" s="1">
        <v>51</v>
      </c>
      <c r="B52" s="6">
        <v>46019</v>
      </c>
      <c r="C52" s="1">
        <v>541</v>
      </c>
      <c r="D52" s="1">
        <f t="shared" si="20"/>
        <v>41</v>
      </c>
      <c r="E52" s="1">
        <f t="shared" si="21"/>
        <v>5</v>
      </c>
      <c r="F52" s="1">
        <f>AVERAGE($E$2:E52)</f>
        <v>5.2941176470588234</v>
      </c>
      <c r="G52" s="1">
        <f t="shared" si="22"/>
        <v>0.29399999999999998</v>
      </c>
      <c r="H52" s="1">
        <f t="shared" si="23"/>
        <v>17.64</v>
      </c>
      <c r="I52" s="1">
        <f>AVERAGE($D$2:D52)</f>
        <v>31.529411764705884</v>
      </c>
      <c r="J52" s="1">
        <f t="shared" si="24"/>
        <v>49.169411764705885</v>
      </c>
      <c r="K52" s="4" cm="1">
        <f t="array" ref="K52">_xlfn.IFS(J52&gt;60, J52-60, J52&lt;60, J52, J52=60, 0)</f>
        <v>49.169411764705885</v>
      </c>
      <c r="L52" s="1">
        <f t="shared" si="25"/>
        <v>5</v>
      </c>
      <c r="M52" s="3">
        <f t="shared" si="26"/>
        <v>49.16</v>
      </c>
      <c r="N52" s="1" t="str">
        <f t="shared" si="27"/>
        <v>5:49.16 min/km</v>
      </c>
      <c r="O52" s="2" t="str">
        <f t="shared" si="28"/>
        <v>5:49.16 min/km</v>
      </c>
      <c r="P52" s="1" t="str">
        <f t="shared" si="8"/>
        <v>December</v>
      </c>
      <c r="Q52" s="47">
        <f>IF(COUNTA(C52)=1,(Table1[[#This Row],[min]]+(Table1[[#This Row],[sec]]/60))/1440, "")</f>
        <v>3.9467592592592592E-3</v>
      </c>
    </row>
    <row r="53" spans="1:21" x14ac:dyDescent="0.25">
      <c r="A53" s="1">
        <v>52</v>
      </c>
      <c r="B53" s="6">
        <v>46020</v>
      </c>
      <c r="C53" s="1">
        <v>623</v>
      </c>
      <c r="D53" s="1">
        <f t="shared" si="20"/>
        <v>23</v>
      </c>
      <c r="E53" s="1">
        <f t="shared" si="21"/>
        <v>6</v>
      </c>
      <c r="F53" s="1">
        <f>AVERAGE($E$2:E53)</f>
        <v>5.3076923076923075</v>
      </c>
      <c r="G53" s="1">
        <f t="shared" si="22"/>
        <v>0.307</v>
      </c>
      <c r="H53" s="1">
        <f t="shared" si="23"/>
        <v>18.419999999999998</v>
      </c>
      <c r="I53" s="1">
        <f>AVERAGE($D$2:D53)</f>
        <v>31.365384615384617</v>
      </c>
      <c r="J53" s="1">
        <f t="shared" si="24"/>
        <v>49.785384615384615</v>
      </c>
      <c r="K53" s="4" cm="1">
        <f t="array" ref="K53">_xlfn.IFS(J53&gt;60, J53-60, J53&lt;60, J53, J53=60, 0)</f>
        <v>49.785384615384615</v>
      </c>
      <c r="L53" s="1">
        <f t="shared" si="25"/>
        <v>5</v>
      </c>
      <c r="M53" s="3">
        <f t="shared" si="26"/>
        <v>49.78</v>
      </c>
      <c r="N53" s="1" t="str">
        <f t="shared" si="27"/>
        <v>5:49.78 min/km</v>
      </c>
      <c r="O53" s="2" t="str">
        <f t="shared" si="28"/>
        <v>5:49.78 min/km</v>
      </c>
      <c r="P53" s="1" t="str">
        <f t="shared" si="8"/>
        <v>December</v>
      </c>
      <c r="Q53" s="47">
        <f>IF(COUNTA(C53)=1,(Table1[[#This Row],[min]]+(Table1[[#This Row],[sec]]/60))/1440, "")</f>
        <v>4.4328703703703709E-3</v>
      </c>
    </row>
    <row r="54" spans="1:21" x14ac:dyDescent="0.25">
      <c r="A54" s="1">
        <v>53</v>
      </c>
      <c r="B54" s="6">
        <v>46022</v>
      </c>
      <c r="C54" s="1">
        <v>557</v>
      </c>
      <c r="D54" s="1">
        <f t="shared" si="20"/>
        <v>57</v>
      </c>
      <c r="E54" s="1">
        <f t="shared" si="21"/>
        <v>5</v>
      </c>
      <c r="F54" s="1">
        <f>AVERAGE($E$2:E54)</f>
        <v>5.3018867924528301</v>
      </c>
      <c r="G54" s="1">
        <f t="shared" si="22"/>
        <v>0.30099999999999999</v>
      </c>
      <c r="H54" s="1">
        <f t="shared" si="23"/>
        <v>18.059999999999999</v>
      </c>
      <c r="I54" s="1">
        <f>AVERAGE($D$2:D54)</f>
        <v>31.849056603773583</v>
      </c>
      <c r="J54" s="1">
        <f t="shared" si="24"/>
        <v>49.909056603773578</v>
      </c>
      <c r="K54" s="4" cm="1">
        <f t="array" ref="K54">_xlfn.IFS(J54&gt;60, J54-60, J54&lt;60, J54, J54=60, 0)</f>
        <v>49.909056603773578</v>
      </c>
      <c r="L54" s="1">
        <f t="shared" si="25"/>
        <v>5</v>
      </c>
      <c r="M54" s="3">
        <f t="shared" si="26"/>
        <v>49.9</v>
      </c>
      <c r="N54" s="1" t="str">
        <f t="shared" si="27"/>
        <v>5:49.9 min/km</v>
      </c>
      <c r="O54" s="2" t="str">
        <f t="shared" si="28"/>
        <v>5:49.9 min/km</v>
      </c>
      <c r="P54" s="1" t="str">
        <f t="shared" si="8"/>
        <v>December</v>
      </c>
      <c r="Q54" s="47">
        <f>IF(COUNTA(C54)=1,(Table1[[#This Row],[min]]+(Table1[[#This Row],[sec]]/60))/1440, "")</f>
        <v>4.1319444444444442E-3</v>
      </c>
    </row>
    <row r="55" spans="1:21" x14ac:dyDescent="0.25">
      <c r="A55" s="1">
        <v>54</v>
      </c>
      <c r="B55" s="6">
        <v>46023</v>
      </c>
      <c r="C55" s="1">
        <v>529</v>
      </c>
      <c r="D55" s="1">
        <f t="shared" si="20"/>
        <v>29</v>
      </c>
      <c r="E55" s="1">
        <f t="shared" si="21"/>
        <v>5</v>
      </c>
      <c r="F55" s="1">
        <f>AVERAGE($E$2:E55)</f>
        <v>5.2962962962962967</v>
      </c>
      <c r="G55" s="1">
        <f t="shared" si="22"/>
        <v>0.29599999999999999</v>
      </c>
      <c r="H55" s="1">
        <f t="shared" si="23"/>
        <v>17.759999999999998</v>
      </c>
      <c r="I55" s="1">
        <f>AVERAGE($D$2:D55)</f>
        <v>31.796296296296298</v>
      </c>
      <c r="J55" s="1">
        <f t="shared" si="24"/>
        <v>49.556296296296296</v>
      </c>
      <c r="K55" s="4" cm="1">
        <f t="array" ref="K55">_xlfn.IFS(J55&gt;60, J55-60, J55&lt;60, J55, J55=60, 0)</f>
        <v>49.556296296296296</v>
      </c>
      <c r="L55" s="1">
        <f t="shared" si="25"/>
        <v>5</v>
      </c>
      <c r="M55" s="3">
        <f t="shared" si="26"/>
        <v>49.55</v>
      </c>
      <c r="N55" s="1" t="str">
        <f t="shared" si="27"/>
        <v>5:49.55 min/km</v>
      </c>
      <c r="O55" s="2" t="str">
        <f t="shared" si="28"/>
        <v>5:49.55 min/km</v>
      </c>
      <c r="P55" s="1" t="str">
        <f t="shared" si="8"/>
        <v>January</v>
      </c>
      <c r="Q55" s="47">
        <f>IF(COUNTA(C55)=1,(Table1[[#This Row],[min]]+(Table1[[#This Row],[sec]]/60))/1440, "")</f>
        <v>3.8078703703703703E-3</v>
      </c>
    </row>
    <row r="56" spans="1:21" x14ac:dyDescent="0.25">
      <c r="A56" s="1">
        <v>55</v>
      </c>
      <c r="B56" s="6">
        <v>46024</v>
      </c>
      <c r="C56" s="1">
        <v>554</v>
      </c>
      <c r="D56" s="1">
        <f t="shared" si="20"/>
        <v>54</v>
      </c>
      <c r="E56" s="1">
        <f t="shared" si="21"/>
        <v>5</v>
      </c>
      <c r="F56" s="1">
        <f>AVERAGE($E$2:E56)</f>
        <v>5.290909090909091</v>
      </c>
      <c r="G56" s="1">
        <f t="shared" si="22"/>
        <v>0.28999999999999998</v>
      </c>
      <c r="H56" s="1">
        <f t="shared" si="23"/>
        <v>17.399999999999999</v>
      </c>
      <c r="I56" s="1">
        <f>AVERAGE($D$2:D56)</f>
        <v>32.200000000000003</v>
      </c>
      <c r="J56" s="1">
        <f t="shared" si="24"/>
        <v>49.6</v>
      </c>
      <c r="K56" s="4" cm="1">
        <f t="array" ref="K56">_xlfn.IFS(J56&gt;60, J56-60, J56&lt;60, J56, J56=60, 0)</f>
        <v>49.6</v>
      </c>
      <c r="L56" s="1">
        <f t="shared" si="25"/>
        <v>5</v>
      </c>
      <c r="M56" s="3">
        <f t="shared" si="26"/>
        <v>49.6</v>
      </c>
      <c r="N56" s="1" t="str">
        <f t="shared" si="27"/>
        <v>5:49.6 min/km</v>
      </c>
      <c r="O56" s="2" t="str">
        <f t="shared" si="28"/>
        <v>5:49.6 min/km</v>
      </c>
      <c r="P56" s="1" t="str">
        <f t="shared" si="8"/>
        <v>January</v>
      </c>
      <c r="Q56" s="47">
        <f>IF(COUNTA(C56)=1,(Table1[[#This Row],[min]]+(Table1[[#This Row],[sec]]/60))/1440, "")</f>
        <v>4.0972222222222226E-3</v>
      </c>
    </row>
    <row r="57" spans="1:21" x14ac:dyDescent="0.25">
      <c r="A57" s="1">
        <v>56</v>
      </c>
      <c r="B57" s="6">
        <v>46025</v>
      </c>
      <c r="C57" s="1">
        <v>538</v>
      </c>
      <c r="D57" s="1">
        <f t="shared" si="20"/>
        <v>38</v>
      </c>
      <c r="E57" s="1">
        <f t="shared" si="21"/>
        <v>5</v>
      </c>
      <c r="F57" s="1">
        <f>AVERAGE($E$2:E57)</f>
        <v>5.2857142857142856</v>
      </c>
      <c r="G57" s="1">
        <f t="shared" si="22"/>
        <v>0.28499999999999998</v>
      </c>
      <c r="H57" s="1">
        <f t="shared" si="23"/>
        <v>17.099999999999998</v>
      </c>
      <c r="I57" s="1">
        <f>AVERAGE($D$2:D57)</f>
        <v>32.303571428571431</v>
      </c>
      <c r="J57" s="1">
        <f t="shared" si="24"/>
        <v>49.403571428571425</v>
      </c>
      <c r="K57" s="4" cm="1">
        <f t="array" ref="K57">_xlfn.IFS(J57&gt;60, J57-60, J57&lt;60, J57, J57=60, 0)</f>
        <v>49.403571428571425</v>
      </c>
      <c r="L57" s="1">
        <f t="shared" si="25"/>
        <v>5</v>
      </c>
      <c r="M57" s="3">
        <f t="shared" si="26"/>
        <v>49.4</v>
      </c>
      <c r="N57" s="1" t="str">
        <f t="shared" si="27"/>
        <v>5:49.4 min/km</v>
      </c>
      <c r="O57" s="2" t="str">
        <f t="shared" si="28"/>
        <v>5:49.4 min/km</v>
      </c>
      <c r="P57" s="1" t="str">
        <f t="shared" si="8"/>
        <v>January</v>
      </c>
      <c r="Q57" s="47">
        <f>IF(COUNTA(C57)=1,(Table1[[#This Row],[min]]+(Table1[[#This Row],[sec]]/60))/1440, "")</f>
        <v>3.9120370370370368E-3</v>
      </c>
    </row>
    <row r="58" spans="1:21" x14ac:dyDescent="0.25">
      <c r="A58" s="1">
        <v>57</v>
      </c>
      <c r="B58" s="6">
        <v>46026</v>
      </c>
      <c r="C58" s="1">
        <v>542</v>
      </c>
      <c r="D58" s="1">
        <f t="shared" si="20"/>
        <v>42</v>
      </c>
      <c r="E58" s="1">
        <f t="shared" si="21"/>
        <v>5</v>
      </c>
      <c r="F58" s="1">
        <f>AVERAGE($E$2:E58)</f>
        <v>5.2807017543859649</v>
      </c>
      <c r="G58" s="1">
        <f t="shared" si="22"/>
        <v>0.28000000000000003</v>
      </c>
      <c r="H58" s="1">
        <f t="shared" si="23"/>
        <v>16.8</v>
      </c>
      <c r="I58" s="1">
        <f>AVERAGE($D$2:D58)</f>
        <v>32.473684210526315</v>
      </c>
      <c r="J58" s="1">
        <f t="shared" si="24"/>
        <v>49.273684210526312</v>
      </c>
      <c r="K58" s="4" cm="1">
        <f t="array" ref="K58">_xlfn.IFS(J58&gt;60, J58-60, J58&lt;60, J58, J58=60, 0)</f>
        <v>49.273684210526312</v>
      </c>
      <c r="L58" s="1">
        <f t="shared" si="25"/>
        <v>5</v>
      </c>
      <c r="M58" s="3">
        <f t="shared" si="26"/>
        <v>49.27</v>
      </c>
      <c r="N58" s="1" t="str">
        <f t="shared" si="27"/>
        <v>5:49.27 min/km</v>
      </c>
      <c r="O58" s="2" t="str">
        <f t="shared" si="28"/>
        <v>5:49.27 min/km</v>
      </c>
      <c r="P58" s="1" t="str">
        <f t="shared" si="8"/>
        <v>January</v>
      </c>
      <c r="Q58" s="47">
        <f>IF(COUNTA(C58)=1,(Table1[[#This Row],[min]]+(Table1[[#This Row],[sec]]/60))/1440, "")</f>
        <v>3.9583333333333337E-3</v>
      </c>
    </row>
    <row r="59" spans="1:21" x14ac:dyDescent="0.25">
      <c r="A59" s="1">
        <v>58</v>
      </c>
      <c r="B59" s="6">
        <v>46027</v>
      </c>
      <c r="C59" s="1">
        <v>530</v>
      </c>
      <c r="D59" s="1">
        <f t="shared" si="20"/>
        <v>30</v>
      </c>
      <c r="E59" s="1">
        <f t="shared" si="21"/>
        <v>5</v>
      </c>
      <c r="F59" s="1">
        <f>AVERAGE($E$2:E59)</f>
        <v>5.2758620689655169</v>
      </c>
      <c r="G59" s="1">
        <f t="shared" si="22"/>
        <v>0.27500000000000002</v>
      </c>
      <c r="H59" s="1">
        <f t="shared" si="23"/>
        <v>16.5</v>
      </c>
      <c r="I59" s="1">
        <f>AVERAGE($D$2:D59)</f>
        <v>32.431034482758619</v>
      </c>
      <c r="J59" s="1">
        <f t="shared" si="24"/>
        <v>48.931034482758619</v>
      </c>
      <c r="K59" s="4" cm="1">
        <f t="array" ref="K59">_xlfn.IFS(J59&gt;60, J59-60, J59&lt;60, J59, J59=60, 0)</f>
        <v>48.931034482758619</v>
      </c>
      <c r="L59" s="1">
        <f t="shared" si="25"/>
        <v>5</v>
      </c>
      <c r="M59" s="3">
        <f t="shared" si="26"/>
        <v>48.93</v>
      </c>
      <c r="N59" s="1" t="str">
        <f t="shared" si="27"/>
        <v>5:48.93 min/km</v>
      </c>
      <c r="O59" s="2" t="str">
        <f t="shared" si="28"/>
        <v>5:48.93 min/km</v>
      </c>
      <c r="P59" s="1" t="str">
        <f t="shared" si="8"/>
        <v>January</v>
      </c>
      <c r="Q59" s="47">
        <f>IF(COUNTA(C59)=1,(Table1[[#This Row],[min]]+(Table1[[#This Row],[sec]]/60))/1440, "")</f>
        <v>3.8194444444444443E-3</v>
      </c>
    </row>
    <row r="60" spans="1:21" x14ac:dyDescent="0.25">
      <c r="A60" s="1">
        <v>59</v>
      </c>
      <c r="B60" s="6">
        <v>46030</v>
      </c>
      <c r="C60" s="1">
        <v>528</v>
      </c>
      <c r="D60" s="1">
        <f t="shared" si="20"/>
        <v>28</v>
      </c>
      <c r="E60" s="1">
        <f t="shared" si="21"/>
        <v>5</v>
      </c>
      <c r="F60" s="1">
        <f>AVERAGE($E$2:E60)</f>
        <v>5.2711864406779663</v>
      </c>
      <c r="G60" s="1">
        <f t="shared" si="22"/>
        <v>0.27100000000000002</v>
      </c>
      <c r="H60" s="1">
        <f t="shared" si="23"/>
        <v>16.260000000000002</v>
      </c>
      <c r="I60" s="1">
        <f>AVERAGE($D$2:D60)</f>
        <v>32.355932203389834</v>
      </c>
      <c r="J60" s="1">
        <f t="shared" si="24"/>
        <v>48.615932203389832</v>
      </c>
      <c r="K60" s="4" cm="1">
        <f t="array" ref="K60">_xlfn.IFS(J60&gt;60, J60-60, J60&lt;60, J60, J60=60, 0)</f>
        <v>48.615932203389832</v>
      </c>
      <c r="L60" s="1">
        <f t="shared" si="25"/>
        <v>5</v>
      </c>
      <c r="M60" s="3">
        <f t="shared" si="26"/>
        <v>48.61</v>
      </c>
      <c r="N60" s="1" t="str">
        <f t="shared" si="27"/>
        <v>5:48.61 min/km</v>
      </c>
      <c r="O60" s="2" t="str">
        <f t="shared" si="28"/>
        <v>5:48.61 min/km</v>
      </c>
      <c r="P60" s="1" t="str">
        <f t="shared" si="8"/>
        <v>January</v>
      </c>
      <c r="Q60" s="47">
        <f>IF(COUNTA(C60)=1,(Table1[[#This Row],[min]]+(Table1[[#This Row],[sec]]/60))/1440, "")</f>
        <v>3.7962962962962963E-3</v>
      </c>
    </row>
    <row r="61" spans="1:21" x14ac:dyDescent="0.25">
      <c r="A61" s="1">
        <v>60</v>
      </c>
      <c r="B61" s="6">
        <v>46031</v>
      </c>
      <c r="C61" s="1">
        <v>521</v>
      </c>
      <c r="D61" s="1">
        <f t="shared" si="20"/>
        <v>21</v>
      </c>
      <c r="E61" s="1">
        <f t="shared" si="21"/>
        <v>5</v>
      </c>
      <c r="F61" s="1">
        <f>AVERAGE($E$2:E61)</f>
        <v>5.2666666666666666</v>
      </c>
      <c r="G61" s="1">
        <f t="shared" si="22"/>
        <v>0.26600000000000001</v>
      </c>
      <c r="H61" s="1">
        <f t="shared" si="23"/>
        <v>15.96</v>
      </c>
      <c r="I61" s="1">
        <f>AVERAGE($D$2:D61)</f>
        <v>32.166666666666664</v>
      </c>
      <c r="J61" s="1">
        <f t="shared" si="24"/>
        <v>48.126666666666665</v>
      </c>
      <c r="K61" s="4" cm="1">
        <f t="array" ref="K61">_xlfn.IFS(J61&gt;60, J61-60, J61&lt;60, J61, J61=60, 0)</f>
        <v>48.126666666666665</v>
      </c>
      <c r="L61" s="1">
        <f t="shared" si="25"/>
        <v>5</v>
      </c>
      <c r="M61" s="3">
        <f t="shared" si="26"/>
        <v>48.12</v>
      </c>
      <c r="N61" s="1" t="str">
        <f t="shared" si="27"/>
        <v>5:48.12 min/km</v>
      </c>
      <c r="O61" s="2" t="str">
        <f t="shared" si="28"/>
        <v>5:48.12 min/km</v>
      </c>
      <c r="P61" s="1" t="str">
        <f t="shared" si="8"/>
        <v>January</v>
      </c>
      <c r="Q61" s="47">
        <f>IF(COUNTA(C61)=1,(Table1[[#This Row],[min]]+(Table1[[#This Row],[sec]]/60))/1440, "")</f>
        <v>3.7152777777777774E-3</v>
      </c>
    </row>
    <row r="62" spans="1:21" x14ac:dyDescent="0.25">
      <c r="A62" s="1">
        <v>61</v>
      </c>
      <c r="B62" s="6">
        <v>46034</v>
      </c>
      <c r="C62" s="1">
        <v>539</v>
      </c>
      <c r="D62" s="1">
        <f t="shared" si="20"/>
        <v>39</v>
      </c>
      <c r="E62" s="1">
        <f t="shared" si="21"/>
        <v>5</v>
      </c>
      <c r="F62" s="1">
        <f>AVERAGE($E$2:E62)</f>
        <v>5.2622950819672134</v>
      </c>
      <c r="G62" s="1">
        <f t="shared" si="22"/>
        <v>0.26200000000000001</v>
      </c>
      <c r="H62" s="1">
        <f t="shared" si="23"/>
        <v>15.72</v>
      </c>
      <c r="I62" s="1">
        <f>AVERAGE($D$2:D62)</f>
        <v>32.278688524590166</v>
      </c>
      <c r="J62" s="1">
        <f t="shared" si="24"/>
        <v>47.998688524590165</v>
      </c>
      <c r="K62" s="4" cm="1">
        <f t="array" ref="K62">_xlfn.IFS(J62&gt;60, J62-60, J62&lt;60, J62, J62=60, 0)</f>
        <v>47.998688524590165</v>
      </c>
      <c r="L62" s="1">
        <f t="shared" si="25"/>
        <v>5</v>
      </c>
      <c r="M62" s="3">
        <f t="shared" si="26"/>
        <v>47.99</v>
      </c>
      <c r="N62" s="1" t="str">
        <f t="shared" si="27"/>
        <v>5:47.99 min/km</v>
      </c>
      <c r="O62" s="2" t="str">
        <f t="shared" si="28"/>
        <v>5:47.99 min/km</v>
      </c>
      <c r="P62" s="1" t="str">
        <f t="shared" si="8"/>
        <v>January</v>
      </c>
      <c r="Q62" s="47">
        <f>IF(COUNTA(C62)=1,(Table1[[#This Row],[min]]+(Table1[[#This Row],[sec]]/60))/1440, "")</f>
        <v>3.9236111111111112E-3</v>
      </c>
    </row>
    <row r="63" spans="1:21" x14ac:dyDescent="0.25">
      <c r="A63" s="1">
        <v>62</v>
      </c>
      <c r="B63" s="6">
        <v>46035</v>
      </c>
      <c r="C63" s="1">
        <v>550</v>
      </c>
      <c r="D63" s="1">
        <f t="shared" si="20"/>
        <v>50</v>
      </c>
      <c r="E63" s="1">
        <f t="shared" si="21"/>
        <v>5</v>
      </c>
      <c r="F63" s="1">
        <f>AVERAGE($E$2:E63)</f>
        <v>5.258064516129032</v>
      </c>
      <c r="G63" s="1">
        <f t="shared" si="22"/>
        <v>0.25800000000000001</v>
      </c>
      <c r="H63" s="1">
        <f t="shared" si="23"/>
        <v>15.48</v>
      </c>
      <c r="I63" s="1">
        <f>AVERAGE($D$2:D63)</f>
        <v>32.564516129032256</v>
      </c>
      <c r="J63" s="1">
        <f t="shared" si="24"/>
        <v>48.04451612903226</v>
      </c>
      <c r="K63" s="4" cm="1">
        <f t="array" ref="K63">_xlfn.IFS(J63&gt;60, J63-60, J63&lt;60, J63, J63=60, 0)</f>
        <v>48.04451612903226</v>
      </c>
      <c r="L63" s="1">
        <f t="shared" si="25"/>
        <v>5</v>
      </c>
      <c r="M63" s="3">
        <f t="shared" si="26"/>
        <v>48.04</v>
      </c>
      <c r="N63" s="1" t="str">
        <f t="shared" si="27"/>
        <v>5:48.04 min/km</v>
      </c>
      <c r="O63" s="2" t="str">
        <f t="shared" si="28"/>
        <v>5:48.04 min/km</v>
      </c>
      <c r="P63" s="1" t="str">
        <f t="shared" si="8"/>
        <v>January</v>
      </c>
      <c r="Q63" s="47">
        <f>IF(COUNTA(C63)=1,(Table1[[#This Row],[min]]+(Table1[[#This Row],[sec]]/60))/1440, "")</f>
        <v>4.0509259259259257E-3</v>
      </c>
    </row>
    <row r="64" spans="1:21" x14ac:dyDescent="0.25">
      <c r="A64" s="1">
        <v>63</v>
      </c>
      <c r="B64" s="6">
        <v>46036</v>
      </c>
      <c r="C64" s="1">
        <v>532</v>
      </c>
      <c r="D64" s="1">
        <f t="shared" si="20"/>
        <v>32</v>
      </c>
      <c r="E64" s="1">
        <f t="shared" si="21"/>
        <v>5</v>
      </c>
      <c r="F64" s="1">
        <f>AVERAGE($E$2:E64)</f>
        <v>5.253968253968254</v>
      </c>
      <c r="G64" s="1">
        <f t="shared" si="22"/>
        <v>0.253</v>
      </c>
      <c r="H64" s="1">
        <f t="shared" si="23"/>
        <v>15.18</v>
      </c>
      <c r="I64" s="1">
        <f>AVERAGE($D$2:D64)</f>
        <v>32.555555555555557</v>
      </c>
      <c r="J64" s="1">
        <f t="shared" si="24"/>
        <v>47.735555555555557</v>
      </c>
      <c r="K64" s="4" cm="1">
        <f t="array" ref="K64">_xlfn.IFS(J64&gt;60, J64-60, J64&lt;60, J64, J64=60, 0)</f>
        <v>47.735555555555557</v>
      </c>
      <c r="L64" s="1">
        <f t="shared" si="25"/>
        <v>5</v>
      </c>
      <c r="M64" s="3">
        <f t="shared" si="26"/>
        <v>47.73</v>
      </c>
      <c r="N64" s="1" t="str">
        <f t="shared" si="27"/>
        <v>5:47.73 min/km</v>
      </c>
      <c r="O64" s="2" t="str">
        <f t="shared" si="28"/>
        <v>5:47.73 min/km</v>
      </c>
      <c r="P64" s="1" t="str">
        <f t="shared" si="8"/>
        <v>January</v>
      </c>
      <c r="Q64" s="47">
        <f>IF(COUNTA(C64)=1,(Table1[[#This Row],[min]]+(Table1[[#This Row],[sec]]/60))/1440, "")</f>
        <v>3.8425925925925923E-3</v>
      </c>
    </row>
    <row r="65" spans="1:17" x14ac:dyDescent="0.25">
      <c r="A65" s="1">
        <v>64</v>
      </c>
      <c r="B65" s="6">
        <v>46037</v>
      </c>
      <c r="C65" s="1">
        <v>530</v>
      </c>
      <c r="D65" s="1">
        <f t="shared" ref="D65:D84" si="29">VALUE(RIGHT(C65, 2))</f>
        <v>30</v>
      </c>
      <c r="E65" s="1">
        <f t="shared" ref="E65:E84" si="30">VALUE(LEFT(C65,1))</f>
        <v>5</v>
      </c>
      <c r="F65" s="1">
        <f>AVERAGE($E$2:E65)</f>
        <v>5.25</v>
      </c>
      <c r="G65" s="1">
        <f t="shared" ref="G65:G84" si="31">IF(INT(F65)=F65,0,VALUE(MID(F65,2,4)))</f>
        <v>0.25</v>
      </c>
      <c r="H65" s="1">
        <f t="shared" ref="H65:H84" si="32">G65*60</f>
        <v>15</v>
      </c>
      <c r="I65" s="1">
        <f>AVERAGE($D$2:D65)</f>
        <v>32.515625</v>
      </c>
      <c r="J65" s="1">
        <f t="shared" ref="J65:J84" si="33">H65+I65</f>
        <v>47.515625</v>
      </c>
      <c r="K65" s="4" cm="1">
        <f t="array" ref="K65">_xlfn.IFS(J65&gt;60, J65-60, J65&lt;60, J65, J65=60, 0)</f>
        <v>47.515625</v>
      </c>
      <c r="L65" s="1">
        <f t="shared" ref="L65:L84" si="34">IF(J65&gt;60, 1 + VALUE(LEFT(F65,1)), VALUE(LEFT(F65,1)))</f>
        <v>5</v>
      </c>
      <c r="M65" s="3">
        <f t="shared" ref="M65:M84" si="35" xml:space="preserve"> VALUE(LEFT(K65,5))</f>
        <v>47.51</v>
      </c>
      <c r="N65" s="1" t="str">
        <f t="shared" ref="N65:N87" si="36">IF(K65&lt;10, CONCATENATE(L65, ":", 0, M65, " min/km"), CONCATENATE(L65, ":", M65, " min/km"))</f>
        <v>5:47.51 min/km</v>
      </c>
      <c r="O65" s="2" t="str">
        <f t="shared" ref="O65:O88" si="37">IF(COUNT(C65)=1, N65, "")</f>
        <v>5:47.51 min/km</v>
      </c>
      <c r="P65" s="1" t="str">
        <f t="shared" si="8"/>
        <v>January</v>
      </c>
      <c r="Q65" s="47">
        <f>IF(COUNTA(C65)=1,(Table1[[#This Row],[min]]+(Table1[[#This Row],[sec]]/60))/1440, "")</f>
        <v>3.8194444444444443E-3</v>
      </c>
    </row>
    <row r="66" spans="1:17" x14ac:dyDescent="0.25">
      <c r="A66" s="1">
        <v>65</v>
      </c>
      <c r="B66" s="6">
        <v>46038</v>
      </c>
      <c r="C66" s="1">
        <v>522</v>
      </c>
      <c r="D66" s="1">
        <f t="shared" si="29"/>
        <v>22</v>
      </c>
      <c r="E66" s="1">
        <f t="shared" si="30"/>
        <v>5</v>
      </c>
      <c r="F66" s="1">
        <f>AVERAGE($E$2:E66)</f>
        <v>5.2461538461538462</v>
      </c>
      <c r="G66" s="1">
        <f t="shared" si="31"/>
        <v>0.246</v>
      </c>
      <c r="H66" s="1">
        <f t="shared" si="32"/>
        <v>14.76</v>
      </c>
      <c r="I66" s="1">
        <f>AVERAGE($D$2:D66)</f>
        <v>32.353846153846156</v>
      </c>
      <c r="J66" s="1">
        <f t="shared" si="33"/>
        <v>47.113846153846154</v>
      </c>
      <c r="K66" s="4" cm="1">
        <f t="array" ref="K66">_xlfn.IFS(J66&gt;60, J66-60, J66&lt;60, J66, J66=60, 0)</f>
        <v>47.113846153846154</v>
      </c>
      <c r="L66" s="1">
        <f t="shared" si="34"/>
        <v>5</v>
      </c>
      <c r="M66" s="3">
        <f t="shared" si="35"/>
        <v>47.11</v>
      </c>
      <c r="N66" s="1" t="str">
        <f t="shared" si="36"/>
        <v>5:47.11 min/km</v>
      </c>
      <c r="O66" s="2" t="str">
        <f t="shared" si="37"/>
        <v>5:47.11 min/km</v>
      </c>
      <c r="P66" s="1" t="str">
        <f t="shared" ref="P66:P88" si="38">IF(COUNTA(B66)=1,TEXT(B66, "mmmm"), "")</f>
        <v>January</v>
      </c>
      <c r="Q66" s="47">
        <f>IF(COUNTA(C66)=1,(Table1[[#This Row],[min]]+(Table1[[#This Row],[sec]]/60))/1440, "")</f>
        <v>3.7268518518518514E-3</v>
      </c>
    </row>
    <row r="67" spans="1:17" x14ac:dyDescent="0.25">
      <c r="A67" s="1">
        <v>66</v>
      </c>
      <c r="B67" s="6">
        <v>46039</v>
      </c>
      <c r="C67" s="1">
        <v>522</v>
      </c>
      <c r="D67" s="1">
        <f t="shared" si="29"/>
        <v>22</v>
      </c>
      <c r="E67" s="1">
        <f t="shared" si="30"/>
        <v>5</v>
      </c>
      <c r="F67" s="1">
        <f>AVERAGE($E$2:E67)</f>
        <v>5.2424242424242422</v>
      </c>
      <c r="G67" s="1">
        <f t="shared" si="31"/>
        <v>0.24199999999999999</v>
      </c>
      <c r="H67" s="1">
        <f t="shared" si="32"/>
        <v>14.52</v>
      </c>
      <c r="I67" s="1">
        <f>AVERAGE($D$2:D67)</f>
        <v>32.196969696969695</v>
      </c>
      <c r="J67" s="1">
        <f t="shared" si="33"/>
        <v>46.716969696969699</v>
      </c>
      <c r="K67" s="4" cm="1">
        <f t="array" ref="K67">_xlfn.IFS(J67&gt;60, J67-60, J67&lt;60, J67, J67=60, 0)</f>
        <v>46.716969696969699</v>
      </c>
      <c r="L67" s="1">
        <f t="shared" si="34"/>
        <v>5</v>
      </c>
      <c r="M67" s="3">
        <f t="shared" si="35"/>
        <v>46.71</v>
      </c>
      <c r="N67" s="1" t="str">
        <f t="shared" si="36"/>
        <v>5:46.71 min/km</v>
      </c>
      <c r="O67" s="2" t="str">
        <f t="shared" si="37"/>
        <v>5:46.71 min/km</v>
      </c>
      <c r="P67" s="1" t="str">
        <f t="shared" si="38"/>
        <v>January</v>
      </c>
      <c r="Q67" s="47">
        <f>IF(COUNTA(C67)=1,(Table1[[#This Row],[min]]+(Table1[[#This Row],[sec]]/60))/1440, "")</f>
        <v>3.7268518518518514E-3</v>
      </c>
    </row>
    <row r="68" spans="1:17" x14ac:dyDescent="0.25">
      <c r="A68" s="1">
        <v>67</v>
      </c>
      <c r="B68" s="6">
        <v>46042</v>
      </c>
      <c r="C68" s="1">
        <v>536</v>
      </c>
      <c r="D68" s="1">
        <f t="shared" si="29"/>
        <v>36</v>
      </c>
      <c r="E68" s="1">
        <f t="shared" si="30"/>
        <v>5</v>
      </c>
      <c r="F68" s="1">
        <f>AVERAGE($E$2:E68)</f>
        <v>5.2388059701492535</v>
      </c>
      <c r="G68" s="1">
        <f t="shared" si="31"/>
        <v>0.23799999999999999</v>
      </c>
      <c r="H68" s="1">
        <f t="shared" si="32"/>
        <v>14.28</v>
      </c>
      <c r="I68" s="1">
        <f>AVERAGE($D$2:D68)</f>
        <v>32.253731343283583</v>
      </c>
      <c r="J68" s="1">
        <f t="shared" si="33"/>
        <v>46.533731343283584</v>
      </c>
      <c r="K68" s="4" cm="1">
        <f t="array" ref="K68">_xlfn.IFS(J68&gt;60, J68-60, J68&lt;60, J68, J68=60, 0)</f>
        <v>46.533731343283584</v>
      </c>
      <c r="L68" s="1">
        <f t="shared" si="34"/>
        <v>5</v>
      </c>
      <c r="M68" s="3">
        <f t="shared" si="35"/>
        <v>46.53</v>
      </c>
      <c r="N68" s="1" t="str">
        <f t="shared" si="36"/>
        <v>5:46.53 min/km</v>
      </c>
      <c r="O68" s="2" t="str">
        <f t="shared" si="37"/>
        <v>5:46.53 min/km</v>
      </c>
      <c r="P68" s="1" t="str">
        <f t="shared" si="38"/>
        <v>January</v>
      </c>
      <c r="Q68" s="47">
        <f>IF(COUNTA(C68)=1,(Table1[[#This Row],[min]]+(Table1[[#This Row],[sec]]/60))/1440, "")</f>
        <v>3.8888888888888888E-3</v>
      </c>
    </row>
    <row r="69" spans="1:17" x14ac:dyDescent="0.25">
      <c r="A69" s="1">
        <v>68</v>
      </c>
      <c r="B69" s="6">
        <v>46043</v>
      </c>
      <c r="C69" s="1">
        <v>521</v>
      </c>
      <c r="D69" s="1">
        <f t="shared" si="29"/>
        <v>21</v>
      </c>
      <c r="E69" s="1">
        <f t="shared" si="30"/>
        <v>5</v>
      </c>
      <c r="F69" s="1">
        <f>AVERAGE($E$2:E69)</f>
        <v>5.2352941176470589</v>
      </c>
      <c r="G69" s="1">
        <f t="shared" si="31"/>
        <v>0.23499999999999999</v>
      </c>
      <c r="H69" s="1">
        <f t="shared" si="32"/>
        <v>14.1</v>
      </c>
      <c r="I69" s="1">
        <f>AVERAGE($D$2:D69)</f>
        <v>32.088235294117645</v>
      </c>
      <c r="J69" s="1">
        <f t="shared" si="33"/>
        <v>46.188235294117646</v>
      </c>
      <c r="K69" s="4" cm="1">
        <f t="array" ref="K69">_xlfn.IFS(J69&gt;60, J69-60, J69&lt;60, J69, J69=60, 0)</f>
        <v>46.188235294117646</v>
      </c>
      <c r="L69" s="1">
        <f t="shared" si="34"/>
        <v>5</v>
      </c>
      <c r="M69" s="3">
        <f t="shared" si="35"/>
        <v>46.18</v>
      </c>
      <c r="N69" s="1" t="str">
        <f t="shared" si="36"/>
        <v>5:46.18 min/km</v>
      </c>
      <c r="O69" s="2" t="str">
        <f t="shared" si="37"/>
        <v>5:46.18 min/km</v>
      </c>
      <c r="P69" s="1" t="str">
        <f t="shared" si="38"/>
        <v>January</v>
      </c>
      <c r="Q69" s="47">
        <f>IF(COUNTA(C69)=1,(Table1[[#This Row],[min]]+(Table1[[#This Row],[sec]]/60))/1440, "")</f>
        <v>3.7152777777777774E-3</v>
      </c>
    </row>
    <row r="70" spans="1:17" x14ac:dyDescent="0.25">
      <c r="A70" s="1">
        <v>69</v>
      </c>
      <c r="B70" s="6">
        <v>46044</v>
      </c>
      <c r="C70" s="1">
        <v>547</v>
      </c>
      <c r="D70" s="1">
        <f t="shared" si="29"/>
        <v>47</v>
      </c>
      <c r="E70" s="1">
        <f t="shared" si="30"/>
        <v>5</v>
      </c>
      <c r="F70" s="1">
        <f>AVERAGE($E$2:E70)</f>
        <v>5.2318840579710146</v>
      </c>
      <c r="G70" s="1">
        <f t="shared" si="31"/>
        <v>0.23100000000000001</v>
      </c>
      <c r="H70" s="1">
        <f t="shared" si="32"/>
        <v>13.860000000000001</v>
      </c>
      <c r="I70" s="1">
        <f>AVERAGE($D$2:D70)</f>
        <v>32.304347826086953</v>
      </c>
      <c r="J70" s="1">
        <f t="shared" si="33"/>
        <v>46.164347826086953</v>
      </c>
      <c r="K70" s="4" cm="1">
        <f t="array" ref="K70">_xlfn.IFS(J70&gt;60, J70-60, J70&lt;60, J70, J70=60, 0)</f>
        <v>46.164347826086953</v>
      </c>
      <c r="L70" s="1">
        <f t="shared" si="34"/>
        <v>5</v>
      </c>
      <c r="M70" s="3">
        <f t="shared" si="35"/>
        <v>46.16</v>
      </c>
      <c r="N70" s="1" t="str">
        <f t="shared" si="36"/>
        <v>5:46.16 min/km</v>
      </c>
      <c r="O70" s="2" t="str">
        <f t="shared" si="37"/>
        <v>5:46.16 min/km</v>
      </c>
      <c r="P70" s="1" t="str">
        <f t="shared" si="38"/>
        <v>January</v>
      </c>
      <c r="Q70" s="47">
        <f>IF(COUNTA(C70)=1,(Table1[[#This Row],[min]]+(Table1[[#This Row],[sec]]/60))/1440, "")</f>
        <v>4.0162037037037033E-3</v>
      </c>
    </row>
    <row r="71" spans="1:17" x14ac:dyDescent="0.25">
      <c r="A71" s="1">
        <v>70</v>
      </c>
      <c r="B71" s="6">
        <v>46045</v>
      </c>
      <c r="C71" s="1">
        <v>525</v>
      </c>
      <c r="D71" s="1">
        <f t="shared" si="29"/>
        <v>25</v>
      </c>
      <c r="E71" s="1">
        <f t="shared" si="30"/>
        <v>5</v>
      </c>
      <c r="F71" s="1">
        <f>AVERAGE($E$2:E71)</f>
        <v>5.2285714285714286</v>
      </c>
      <c r="G71" s="1">
        <f t="shared" si="31"/>
        <v>0.22800000000000001</v>
      </c>
      <c r="H71" s="1">
        <f t="shared" si="32"/>
        <v>13.68</v>
      </c>
      <c r="I71" s="1">
        <f>AVERAGE($D$2:D71)</f>
        <v>32.200000000000003</v>
      </c>
      <c r="J71" s="1">
        <f t="shared" si="33"/>
        <v>45.88</v>
      </c>
      <c r="K71" s="4" cm="1">
        <f t="array" ref="K71">_xlfn.IFS(J71&gt;60, J71-60, J71&lt;60, J71, J71=60, 0)</f>
        <v>45.88</v>
      </c>
      <c r="L71" s="1">
        <f t="shared" si="34"/>
        <v>5</v>
      </c>
      <c r="M71" s="3">
        <f t="shared" si="35"/>
        <v>45.88</v>
      </c>
      <c r="N71" s="1" t="str">
        <f t="shared" si="36"/>
        <v>5:45.88 min/km</v>
      </c>
      <c r="O71" s="2" t="str">
        <f t="shared" si="37"/>
        <v>5:45.88 min/km</v>
      </c>
      <c r="P71" s="1" t="str">
        <f t="shared" si="38"/>
        <v>January</v>
      </c>
      <c r="Q71" s="47">
        <f>IF(COUNTA(C71)=1,(Table1[[#This Row],[min]]+(Table1[[#This Row],[sec]]/60))/1440, "")</f>
        <v>3.7615740740740743E-3</v>
      </c>
    </row>
    <row r="72" spans="1:17" x14ac:dyDescent="0.25">
      <c r="A72" s="1">
        <v>71</v>
      </c>
      <c r="B72" s="6">
        <v>46046</v>
      </c>
      <c r="C72" s="1">
        <v>529</v>
      </c>
      <c r="D72" s="1">
        <f t="shared" si="29"/>
        <v>29</v>
      </c>
      <c r="E72" s="1">
        <f t="shared" si="30"/>
        <v>5</v>
      </c>
      <c r="F72" s="1">
        <f>AVERAGE($E$2:E72)</f>
        <v>5.225352112676056</v>
      </c>
      <c r="G72" s="1">
        <f t="shared" si="31"/>
        <v>0.22500000000000001</v>
      </c>
      <c r="H72" s="1">
        <f t="shared" si="32"/>
        <v>13.5</v>
      </c>
      <c r="I72" s="1">
        <f>AVERAGE($D$2:D72)</f>
        <v>32.154929577464792</v>
      </c>
      <c r="J72" s="1">
        <f t="shared" si="33"/>
        <v>45.654929577464792</v>
      </c>
      <c r="K72" s="4" cm="1">
        <f t="array" ref="K72">_xlfn.IFS(J72&gt;60, J72-60, J72&lt;60, J72, J72=60, 0)</f>
        <v>45.654929577464792</v>
      </c>
      <c r="L72" s="1">
        <f t="shared" si="34"/>
        <v>5</v>
      </c>
      <c r="M72" s="3">
        <f t="shared" si="35"/>
        <v>45.65</v>
      </c>
      <c r="N72" s="1" t="str">
        <f t="shared" si="36"/>
        <v>5:45.65 min/km</v>
      </c>
      <c r="O72" s="2" t="str">
        <f t="shared" si="37"/>
        <v>5:45.65 min/km</v>
      </c>
      <c r="P72" s="1" t="str">
        <f t="shared" si="38"/>
        <v>January</v>
      </c>
      <c r="Q72" s="47">
        <f>IF(COUNTA(C72)=1,(Table1[[#This Row],[min]]+(Table1[[#This Row],[sec]]/60))/1440, "")</f>
        <v>3.8078703703703703E-3</v>
      </c>
    </row>
    <row r="73" spans="1:17" x14ac:dyDescent="0.25">
      <c r="A73" s="1">
        <v>72</v>
      </c>
      <c r="B73" s="6">
        <v>46047</v>
      </c>
      <c r="C73" s="1">
        <v>518</v>
      </c>
      <c r="D73" s="1">
        <f t="shared" si="29"/>
        <v>18</v>
      </c>
      <c r="E73" s="1">
        <f t="shared" si="30"/>
        <v>5</v>
      </c>
      <c r="F73" s="1">
        <f>AVERAGE($E$2:E73)</f>
        <v>5.2222222222222223</v>
      </c>
      <c r="G73" s="1">
        <f t="shared" si="31"/>
        <v>0.222</v>
      </c>
      <c r="H73" s="1">
        <f t="shared" si="32"/>
        <v>13.32</v>
      </c>
      <c r="I73" s="1">
        <f>AVERAGE($D$2:D73)</f>
        <v>31.958333333333332</v>
      </c>
      <c r="J73" s="1">
        <f t="shared" si="33"/>
        <v>45.278333333333336</v>
      </c>
      <c r="K73" s="4" cm="1">
        <f t="array" ref="K73">_xlfn.IFS(J73&gt;60, J73-60, J73&lt;60, J73, J73=60, 0)</f>
        <v>45.278333333333336</v>
      </c>
      <c r="L73" s="1">
        <f t="shared" si="34"/>
        <v>5</v>
      </c>
      <c r="M73" s="3">
        <f t="shared" si="35"/>
        <v>45.27</v>
      </c>
      <c r="N73" s="1" t="str">
        <f t="shared" si="36"/>
        <v>5:45.27 min/km</v>
      </c>
      <c r="O73" s="2" t="str">
        <f t="shared" si="37"/>
        <v>5:45.27 min/km</v>
      </c>
      <c r="P73" s="1" t="str">
        <f t="shared" si="38"/>
        <v>January</v>
      </c>
      <c r="Q73" s="47">
        <f>IF(COUNTA(C73)=1,(Table1[[#This Row],[min]]+(Table1[[#This Row],[sec]]/60))/1440, "")</f>
        <v>3.6805555555555554E-3</v>
      </c>
    </row>
    <row r="74" spans="1:17" x14ac:dyDescent="0.25">
      <c r="A74" s="1">
        <v>73</v>
      </c>
      <c r="B74" s="6">
        <v>46049</v>
      </c>
      <c r="C74" s="1">
        <v>540</v>
      </c>
      <c r="D74" s="1">
        <f t="shared" si="29"/>
        <v>40</v>
      </c>
      <c r="E74" s="1">
        <f t="shared" si="30"/>
        <v>5</v>
      </c>
      <c r="F74" s="1">
        <f>AVERAGE($E$2:E74)</f>
        <v>5.2191780821917808</v>
      </c>
      <c r="G74" s="1">
        <f t="shared" si="31"/>
        <v>0.219</v>
      </c>
      <c r="H74" s="1">
        <f t="shared" si="32"/>
        <v>13.14</v>
      </c>
      <c r="I74" s="1">
        <f>AVERAGE($D$2:D74)</f>
        <v>32.06849315068493</v>
      </c>
      <c r="J74" s="1">
        <f t="shared" si="33"/>
        <v>45.20849315068493</v>
      </c>
      <c r="K74" s="4" cm="1">
        <f t="array" ref="K74">_xlfn.IFS(J74&gt;60, J74-60, J74&lt;60, J74, J74=60, 0)</f>
        <v>45.20849315068493</v>
      </c>
      <c r="L74" s="1">
        <f t="shared" si="34"/>
        <v>5</v>
      </c>
      <c r="M74" s="3">
        <f t="shared" si="35"/>
        <v>45.2</v>
      </c>
      <c r="N74" s="1" t="str">
        <f t="shared" si="36"/>
        <v>5:45.2 min/km</v>
      </c>
      <c r="O74" s="2" t="str">
        <f t="shared" si="37"/>
        <v>5:45.2 min/km</v>
      </c>
      <c r="P74" s="1" t="str">
        <f t="shared" si="38"/>
        <v>January</v>
      </c>
      <c r="Q74" s="47">
        <f>IF(COUNTA(C74)=1,(Table1[[#This Row],[min]]+(Table1[[#This Row],[sec]]/60))/1440, "")</f>
        <v>3.9351851851851857E-3</v>
      </c>
    </row>
    <row r="75" spans="1:17" x14ac:dyDescent="0.25">
      <c r="A75" s="1">
        <v>74</v>
      </c>
      <c r="B75" s="6">
        <v>46051</v>
      </c>
      <c r="C75" s="1">
        <v>514</v>
      </c>
      <c r="D75" s="1">
        <f t="shared" si="29"/>
        <v>14</v>
      </c>
      <c r="E75" s="1">
        <f t="shared" si="30"/>
        <v>5</v>
      </c>
      <c r="F75" s="1">
        <f>AVERAGE($E$2:E75)</f>
        <v>5.2162162162162158</v>
      </c>
      <c r="G75" s="1">
        <f t="shared" si="31"/>
        <v>0.216</v>
      </c>
      <c r="H75" s="1">
        <f t="shared" si="32"/>
        <v>12.959999999999999</v>
      </c>
      <c r="I75" s="1">
        <f>AVERAGE($D$2:D75)</f>
        <v>31.824324324324323</v>
      </c>
      <c r="J75" s="1">
        <f t="shared" si="33"/>
        <v>44.784324324324324</v>
      </c>
      <c r="K75" s="4" cm="1">
        <f t="array" ref="K75">_xlfn.IFS(J75&gt;60, J75-60, J75&lt;60, J75, J75=60, 0)</f>
        <v>44.784324324324324</v>
      </c>
      <c r="L75" s="1">
        <f t="shared" si="34"/>
        <v>5</v>
      </c>
      <c r="M75" s="3">
        <f t="shared" si="35"/>
        <v>44.78</v>
      </c>
      <c r="N75" s="1" t="str">
        <f t="shared" si="36"/>
        <v>5:44.78 min/km</v>
      </c>
      <c r="O75" s="2" t="str">
        <f t="shared" si="37"/>
        <v>5:44.78 min/km</v>
      </c>
      <c r="P75" s="1" t="str">
        <f t="shared" si="38"/>
        <v>January</v>
      </c>
      <c r="Q75" s="47">
        <f>IF(COUNTA(C75)=1,(Table1[[#This Row],[min]]+(Table1[[#This Row],[sec]]/60))/1440, "")</f>
        <v>3.6342592592592594E-3</v>
      </c>
    </row>
    <row r="76" spans="1:17" x14ac:dyDescent="0.25">
      <c r="A76" s="1">
        <v>75</v>
      </c>
      <c r="B76" s="6">
        <v>46052</v>
      </c>
      <c r="C76" s="1">
        <v>532</v>
      </c>
      <c r="D76" s="1">
        <f t="shared" si="29"/>
        <v>32</v>
      </c>
      <c r="E76" s="1">
        <f t="shared" si="30"/>
        <v>5</v>
      </c>
      <c r="F76" s="1">
        <f>AVERAGE($E$2:E76)</f>
        <v>5.2133333333333329</v>
      </c>
      <c r="G76" s="1">
        <f t="shared" si="31"/>
        <v>0.21299999999999999</v>
      </c>
      <c r="H76" s="1">
        <f t="shared" si="32"/>
        <v>12.78</v>
      </c>
      <c r="I76" s="1">
        <f>AVERAGE($D$2:D76)</f>
        <v>31.826666666666668</v>
      </c>
      <c r="J76" s="1">
        <f t="shared" si="33"/>
        <v>44.606666666666669</v>
      </c>
      <c r="K76" s="4" cm="1">
        <f t="array" ref="K76">_xlfn.IFS(J76&gt;60, J76-60, J76&lt;60, J76, J76=60, 0)</f>
        <v>44.606666666666669</v>
      </c>
      <c r="L76" s="1">
        <f t="shared" si="34"/>
        <v>5</v>
      </c>
      <c r="M76" s="3">
        <f t="shared" si="35"/>
        <v>44.6</v>
      </c>
      <c r="N76" s="1" t="str">
        <f t="shared" si="36"/>
        <v>5:44.6 min/km</v>
      </c>
      <c r="O76" s="2" t="str">
        <f t="shared" si="37"/>
        <v>5:44.6 min/km</v>
      </c>
      <c r="P76" s="1" t="str">
        <f t="shared" si="38"/>
        <v>January</v>
      </c>
      <c r="Q76" s="47">
        <f>IF(COUNTA(C76)=1,(Table1[[#This Row],[min]]+(Table1[[#This Row],[sec]]/60))/1440, "")</f>
        <v>3.8425925925925923E-3</v>
      </c>
    </row>
    <row r="77" spans="1:17" x14ac:dyDescent="0.25">
      <c r="A77" s="1">
        <v>76</v>
      </c>
      <c r="B77" s="6">
        <v>46058</v>
      </c>
      <c r="C77" s="1">
        <v>527</v>
      </c>
      <c r="D77" s="1">
        <f t="shared" si="29"/>
        <v>27</v>
      </c>
      <c r="E77" s="1">
        <f t="shared" si="30"/>
        <v>5</v>
      </c>
      <c r="F77" s="1">
        <f>AVERAGE($E$2:E77)</f>
        <v>5.2105263157894735</v>
      </c>
      <c r="G77" s="1">
        <f t="shared" si="31"/>
        <v>0.21</v>
      </c>
      <c r="H77" s="1">
        <f t="shared" si="32"/>
        <v>12.6</v>
      </c>
      <c r="I77" s="1">
        <f>AVERAGE($D$2:D77)</f>
        <v>31.763157894736842</v>
      </c>
      <c r="J77" s="1">
        <f t="shared" si="33"/>
        <v>44.363157894736844</v>
      </c>
      <c r="K77" s="4" cm="1">
        <f t="array" ref="K77">_xlfn.IFS(J77&gt;60, J77-60, J77&lt;60, J77, J77=60, 0)</f>
        <v>44.363157894736844</v>
      </c>
      <c r="L77" s="1">
        <f t="shared" si="34"/>
        <v>5</v>
      </c>
      <c r="M77" s="3">
        <f t="shared" si="35"/>
        <v>44.36</v>
      </c>
      <c r="N77" s="1" t="str">
        <f t="shared" si="36"/>
        <v>5:44.36 min/km</v>
      </c>
      <c r="O77" s="2" t="str">
        <f t="shared" si="37"/>
        <v>5:44.36 min/km</v>
      </c>
      <c r="P77" s="1" t="str">
        <f t="shared" si="38"/>
        <v>February</v>
      </c>
      <c r="Q77" s="47">
        <f>IF(COUNTA(C77)=1,(Table1[[#This Row],[min]]+(Table1[[#This Row],[sec]]/60))/1440, "")</f>
        <v>3.7847222222222223E-3</v>
      </c>
    </row>
    <row r="78" spans="1:17" x14ac:dyDescent="0.25">
      <c r="A78" s="1">
        <v>77</v>
      </c>
      <c r="B78" s="6">
        <v>46061</v>
      </c>
      <c r="C78" s="1">
        <v>531</v>
      </c>
      <c r="D78" s="1">
        <f t="shared" si="29"/>
        <v>31</v>
      </c>
      <c r="E78" s="1">
        <f t="shared" si="30"/>
        <v>5</v>
      </c>
      <c r="F78" s="1">
        <f>AVERAGE($E$2:E78)</f>
        <v>5.2077922077922079</v>
      </c>
      <c r="G78" s="1">
        <f t="shared" si="31"/>
        <v>0.20699999999999999</v>
      </c>
      <c r="H78" s="1">
        <f t="shared" si="32"/>
        <v>12.42</v>
      </c>
      <c r="I78" s="1">
        <f>AVERAGE($D$2:D78)</f>
        <v>31.753246753246753</v>
      </c>
      <c r="J78" s="1">
        <f t="shared" si="33"/>
        <v>44.173246753246751</v>
      </c>
      <c r="K78" s="4" cm="1">
        <f t="array" ref="K78">_xlfn.IFS(J78&gt;60, J78-60, J78&lt;60, J78, J78=60, 0)</f>
        <v>44.173246753246751</v>
      </c>
      <c r="L78" s="1">
        <f t="shared" si="34"/>
        <v>5</v>
      </c>
      <c r="M78" s="3">
        <f t="shared" si="35"/>
        <v>44.17</v>
      </c>
      <c r="N78" s="1" t="str">
        <f t="shared" si="36"/>
        <v>5:44.17 min/km</v>
      </c>
      <c r="O78" s="2" t="str">
        <f t="shared" si="37"/>
        <v>5:44.17 min/km</v>
      </c>
      <c r="P78" s="1" t="str">
        <f t="shared" si="38"/>
        <v>February</v>
      </c>
      <c r="Q78" s="47">
        <f>IF(COUNTA(C78)=1,(Table1[[#This Row],[min]]+(Table1[[#This Row],[sec]]/60))/1440, "")</f>
        <v>3.8310185185185183E-3</v>
      </c>
    </row>
    <row r="79" spans="1:17" x14ac:dyDescent="0.25">
      <c r="A79" s="1">
        <v>78</v>
      </c>
      <c r="B79" s="6">
        <v>46062</v>
      </c>
      <c r="C79" s="1">
        <v>528</v>
      </c>
      <c r="D79" s="1">
        <f t="shared" si="29"/>
        <v>28</v>
      </c>
      <c r="E79" s="1">
        <f t="shared" si="30"/>
        <v>5</v>
      </c>
      <c r="F79" s="1">
        <f>AVERAGE($E$2:E79)</f>
        <v>5.2051282051282053</v>
      </c>
      <c r="G79" s="1">
        <f t="shared" si="31"/>
        <v>0.20499999999999999</v>
      </c>
      <c r="H79" s="1">
        <f t="shared" si="32"/>
        <v>12.299999999999999</v>
      </c>
      <c r="I79" s="1">
        <f>AVERAGE($D$2:D79)</f>
        <v>31.705128205128204</v>
      </c>
      <c r="J79" s="1">
        <f t="shared" si="33"/>
        <v>44.005128205128202</v>
      </c>
      <c r="K79" s="4" cm="1">
        <f t="array" ref="K79">_xlfn.IFS(J79&gt;60, J79-60, J79&lt;60, J79, J79=60, 0)</f>
        <v>44.005128205128202</v>
      </c>
      <c r="L79" s="1">
        <f t="shared" si="34"/>
        <v>5</v>
      </c>
      <c r="M79" s="3">
        <f t="shared" si="35"/>
        <v>44</v>
      </c>
      <c r="N79" s="1" t="str">
        <f t="shared" si="36"/>
        <v>5:44 min/km</v>
      </c>
      <c r="O79" s="2" t="str">
        <f t="shared" si="37"/>
        <v>5:44 min/km</v>
      </c>
      <c r="P79" s="1" t="str">
        <f t="shared" si="38"/>
        <v>February</v>
      </c>
      <c r="Q79" s="47">
        <f>IF(COUNTA(C79)=1,(Table1[[#This Row],[min]]+(Table1[[#This Row],[sec]]/60))/1440, "")</f>
        <v>3.7962962962962963E-3</v>
      </c>
    </row>
    <row r="80" spans="1:17" x14ac:dyDescent="0.25">
      <c r="A80" s="1">
        <v>79</v>
      </c>
      <c r="B80" s="6">
        <v>46063</v>
      </c>
      <c r="C80" s="1">
        <v>515</v>
      </c>
      <c r="D80" s="1">
        <f t="shared" si="29"/>
        <v>15</v>
      </c>
      <c r="E80" s="1">
        <f t="shared" si="30"/>
        <v>5</v>
      </c>
      <c r="F80" s="1">
        <f>AVERAGE($E$2:E80)</f>
        <v>5.2025316455696204</v>
      </c>
      <c r="G80" s="1">
        <f t="shared" si="31"/>
        <v>0.20200000000000001</v>
      </c>
      <c r="H80" s="1">
        <f t="shared" si="32"/>
        <v>12.120000000000001</v>
      </c>
      <c r="I80" s="1">
        <f>AVERAGE($D$2:D80)</f>
        <v>31.49367088607595</v>
      </c>
      <c r="J80" s="1">
        <f t="shared" si="33"/>
        <v>43.613670886075951</v>
      </c>
      <c r="K80" s="4" cm="1">
        <f t="array" ref="K80">_xlfn.IFS(J80&gt;60, J80-60, J80&lt;60, J80, J80=60, 0)</f>
        <v>43.613670886075951</v>
      </c>
      <c r="L80" s="1">
        <f t="shared" si="34"/>
        <v>5</v>
      </c>
      <c r="M80" s="3">
        <f t="shared" si="35"/>
        <v>43.61</v>
      </c>
      <c r="N80" s="1" t="str">
        <f t="shared" si="36"/>
        <v>5:43.61 min/km</v>
      </c>
      <c r="O80" s="2" t="str">
        <f t="shared" si="37"/>
        <v>5:43.61 min/km</v>
      </c>
      <c r="P80" s="1" t="str">
        <f t="shared" si="38"/>
        <v>February</v>
      </c>
      <c r="Q80" s="47">
        <f>IF(COUNTA(C80)=1,(Table1[[#This Row],[min]]+(Table1[[#This Row],[sec]]/60))/1440, "")</f>
        <v>3.6458333333333334E-3</v>
      </c>
    </row>
    <row r="81" spans="1:17" x14ac:dyDescent="0.25">
      <c r="A81" s="1">
        <v>80</v>
      </c>
      <c r="B81" s="6">
        <v>46064</v>
      </c>
      <c r="C81" s="1">
        <v>516</v>
      </c>
      <c r="D81" s="1">
        <f t="shared" si="29"/>
        <v>16</v>
      </c>
      <c r="E81" s="1">
        <f t="shared" si="30"/>
        <v>5</v>
      </c>
      <c r="F81" s="1">
        <f>AVERAGE($E$2:E81)</f>
        <v>5.2</v>
      </c>
      <c r="G81" s="1">
        <f t="shared" si="31"/>
        <v>0.2</v>
      </c>
      <c r="H81" s="1">
        <f t="shared" si="32"/>
        <v>12</v>
      </c>
      <c r="I81" s="1">
        <f>AVERAGE($D$2:D81)</f>
        <v>31.3</v>
      </c>
      <c r="J81" s="1">
        <f t="shared" si="33"/>
        <v>43.3</v>
      </c>
      <c r="K81" s="4" cm="1">
        <f t="array" ref="K81">_xlfn.IFS(J81&gt;60, J81-60, J81&lt;60, J81, J81=60, 0)</f>
        <v>43.3</v>
      </c>
      <c r="L81" s="1">
        <f t="shared" si="34"/>
        <v>5</v>
      </c>
      <c r="M81" s="3">
        <f t="shared" si="35"/>
        <v>43.3</v>
      </c>
      <c r="N81" s="1" t="str">
        <f t="shared" si="36"/>
        <v>5:43.3 min/km</v>
      </c>
      <c r="O81" s="2" t="str">
        <f t="shared" si="37"/>
        <v>5:43.3 min/km</v>
      </c>
      <c r="P81" s="1" t="str">
        <f t="shared" si="38"/>
        <v>February</v>
      </c>
      <c r="Q81" s="47">
        <f>IF(COUNTA(C81)=1,(Table1[[#This Row],[min]]+(Table1[[#This Row],[sec]]/60))/1440, "")</f>
        <v>3.6574074074074074E-3</v>
      </c>
    </row>
    <row r="82" spans="1:17" x14ac:dyDescent="0.25">
      <c r="A82" s="1">
        <v>81</v>
      </c>
      <c r="B82" s="6">
        <v>46065</v>
      </c>
      <c r="C82" s="1">
        <v>524</v>
      </c>
      <c r="D82" s="1">
        <f t="shared" si="29"/>
        <v>24</v>
      </c>
      <c r="E82" s="1">
        <f t="shared" si="30"/>
        <v>5</v>
      </c>
      <c r="F82" s="1">
        <f>AVERAGE($E$2:E82)</f>
        <v>5.1975308641975309</v>
      </c>
      <c r="G82" s="1">
        <f t="shared" si="31"/>
        <v>0.19700000000000001</v>
      </c>
      <c r="H82" s="1">
        <f t="shared" si="32"/>
        <v>11.82</v>
      </c>
      <c r="I82" s="1">
        <f>AVERAGE($D$2:D82)</f>
        <v>31.209876543209877</v>
      </c>
      <c r="J82" s="1">
        <f t="shared" si="33"/>
        <v>43.02987654320988</v>
      </c>
      <c r="K82" s="4" cm="1">
        <f t="array" ref="K82">_xlfn.IFS(J82&gt;60, J82-60, J82&lt;60, J82, J82=60, 0)</f>
        <v>43.02987654320988</v>
      </c>
      <c r="L82" s="1">
        <f t="shared" si="34"/>
        <v>5</v>
      </c>
      <c r="M82" s="3">
        <f t="shared" si="35"/>
        <v>43.02</v>
      </c>
      <c r="N82" s="1" t="str">
        <f t="shared" si="36"/>
        <v>5:43.02 min/km</v>
      </c>
      <c r="O82" s="2" t="str">
        <f t="shared" si="37"/>
        <v>5:43.02 min/km</v>
      </c>
      <c r="P82" s="1" t="str">
        <f t="shared" si="38"/>
        <v>February</v>
      </c>
      <c r="Q82" s="47">
        <f>IF(COUNTA(C82)=1,(Table1[[#This Row],[min]]+(Table1[[#This Row],[sec]]/60))/1440, "")</f>
        <v>3.7500000000000003E-3</v>
      </c>
    </row>
    <row r="83" spans="1:17" x14ac:dyDescent="0.25">
      <c r="A83" s="1">
        <v>82</v>
      </c>
      <c r="B83" s="6">
        <v>46066</v>
      </c>
      <c r="C83" s="1">
        <v>510</v>
      </c>
      <c r="D83" s="1">
        <f t="shared" si="29"/>
        <v>10</v>
      </c>
      <c r="E83" s="1">
        <f t="shared" si="30"/>
        <v>5</v>
      </c>
      <c r="F83" s="1">
        <f>AVERAGE($E$2:E83)</f>
        <v>5.1951219512195124</v>
      </c>
      <c r="G83" s="1">
        <f t="shared" si="31"/>
        <v>0.19500000000000001</v>
      </c>
      <c r="H83" s="1">
        <f t="shared" si="32"/>
        <v>11.700000000000001</v>
      </c>
      <c r="I83" s="1">
        <f>AVERAGE($D$2:D83)</f>
        <v>30.951219512195124</v>
      </c>
      <c r="J83" s="1">
        <f t="shared" si="33"/>
        <v>42.651219512195127</v>
      </c>
      <c r="K83" s="4" cm="1">
        <f t="array" ref="K83">_xlfn.IFS(J83&gt;60, J83-60, J83&lt;60, J83, J83=60, 0)</f>
        <v>42.651219512195127</v>
      </c>
      <c r="L83" s="1">
        <f t="shared" si="34"/>
        <v>5</v>
      </c>
      <c r="M83" s="3">
        <f t="shared" si="35"/>
        <v>42.65</v>
      </c>
      <c r="N83" s="1" t="str">
        <f t="shared" si="36"/>
        <v>5:42.65 min/km</v>
      </c>
      <c r="O83" s="2" t="str">
        <f t="shared" si="37"/>
        <v>5:42.65 min/km</v>
      </c>
      <c r="P83" s="1" t="str">
        <f t="shared" si="38"/>
        <v>February</v>
      </c>
      <c r="Q83" s="47">
        <f>IF(COUNTA(C83)=1,(Table1[[#This Row],[min]]+(Table1[[#This Row],[sec]]/60))/1440, "")</f>
        <v>3.5879629629629634E-3</v>
      </c>
    </row>
    <row r="84" spans="1:17" x14ac:dyDescent="0.25">
      <c r="A84" s="1">
        <v>83</v>
      </c>
      <c r="B84" s="6">
        <v>46067</v>
      </c>
      <c r="C84" s="1">
        <v>524</v>
      </c>
      <c r="D84" s="1">
        <f t="shared" si="29"/>
        <v>24</v>
      </c>
      <c r="E84" s="1">
        <f t="shared" si="30"/>
        <v>5</v>
      </c>
      <c r="F84" s="1">
        <f>AVERAGE($E$2:E84)</f>
        <v>5.1927710843373491</v>
      </c>
      <c r="G84" s="1">
        <f t="shared" si="31"/>
        <v>0.192</v>
      </c>
      <c r="H84" s="1">
        <f t="shared" si="32"/>
        <v>11.52</v>
      </c>
      <c r="I84" s="1">
        <f>AVERAGE($D$2:D84)</f>
        <v>30.867469879518072</v>
      </c>
      <c r="J84" s="1">
        <f t="shared" si="33"/>
        <v>42.387469879518072</v>
      </c>
      <c r="K84" s="4" cm="1">
        <f t="array" ref="K84">_xlfn.IFS(J84&gt;60, J84-60, J84&lt;60, J84, J84=60, 0)</f>
        <v>42.387469879518072</v>
      </c>
      <c r="L84" s="1">
        <f t="shared" si="34"/>
        <v>5</v>
      </c>
      <c r="M84" s="3">
        <f t="shared" si="35"/>
        <v>42.38</v>
      </c>
      <c r="N84" s="1" t="str">
        <f t="shared" si="36"/>
        <v>5:42.38 min/km</v>
      </c>
      <c r="O84" s="2" t="str">
        <f t="shared" si="37"/>
        <v>5:42.38 min/km</v>
      </c>
      <c r="P84" s="1" t="str">
        <f t="shared" si="38"/>
        <v>February</v>
      </c>
      <c r="Q84" s="47">
        <f>IF(COUNTA(C84)=1,(Table1[[#This Row],[min]]+(Table1[[#This Row],[sec]]/60))/1440, "")</f>
        <v>3.7500000000000003E-3</v>
      </c>
    </row>
    <row r="85" spans="1:17" x14ac:dyDescent="0.25">
      <c r="A85" s="1">
        <v>84</v>
      </c>
      <c r="B85" s="6">
        <v>46068</v>
      </c>
      <c r="C85" s="1">
        <v>529</v>
      </c>
      <c r="D85" s="1">
        <f t="shared" ref="D85:D88" si="39">VALUE(RIGHT(C85, 2))</f>
        <v>29</v>
      </c>
      <c r="E85" s="1">
        <f t="shared" ref="E85:E88" si="40">VALUE(LEFT(C85,1))</f>
        <v>5</v>
      </c>
      <c r="F85" s="1">
        <f>AVERAGE($E$2:E85)</f>
        <v>5.1904761904761907</v>
      </c>
      <c r="G85" s="1">
        <f t="shared" ref="G85:G88" si="41">IF(INT(F85)=F85,0,VALUE(MID(F85,2,4)))</f>
        <v>0.19</v>
      </c>
      <c r="H85" s="1">
        <f t="shared" ref="H85:H88" si="42">G85*60</f>
        <v>11.4</v>
      </c>
      <c r="I85" s="1">
        <f>AVERAGE($D$2:D85)</f>
        <v>30.845238095238095</v>
      </c>
      <c r="J85" s="1">
        <f t="shared" ref="J85:J88" si="43">H85+I85</f>
        <v>42.245238095238093</v>
      </c>
      <c r="K85" s="4" cm="1">
        <f t="array" ref="K85">_xlfn.IFS(J85&gt;60, J85-60, J85&lt;60, J85, J85=60, 0)</f>
        <v>42.245238095238093</v>
      </c>
      <c r="L85" s="1">
        <f t="shared" ref="L85:L88" si="44">IF(J85&gt;60, 1 + VALUE(LEFT(F85,1)), VALUE(LEFT(F85,1)))</f>
        <v>5</v>
      </c>
      <c r="M85" s="3">
        <f t="shared" ref="M85:M88" si="45" xml:space="preserve"> VALUE(LEFT(K85,5))</f>
        <v>42.24</v>
      </c>
      <c r="N85" s="1" t="str">
        <f t="shared" si="36"/>
        <v>5:42.24 min/km</v>
      </c>
      <c r="O85" s="2" t="str">
        <f t="shared" si="37"/>
        <v>5:42.24 min/km</v>
      </c>
      <c r="P85" s="1" t="str">
        <f t="shared" si="38"/>
        <v>February</v>
      </c>
      <c r="Q85" s="47">
        <f>IF(COUNTA(C85)=1,(Table1[[#This Row],[min]]+(Table1[[#This Row],[sec]]/60))/1440, "")</f>
        <v>3.8078703703703703E-3</v>
      </c>
    </row>
    <row r="86" spans="1:17" x14ac:dyDescent="0.25">
      <c r="A86" s="1">
        <v>85</v>
      </c>
      <c r="B86" s="6">
        <v>46069</v>
      </c>
      <c r="C86" s="1">
        <v>602</v>
      </c>
      <c r="D86" s="1">
        <f t="shared" si="39"/>
        <v>2</v>
      </c>
      <c r="E86" s="1">
        <f t="shared" si="40"/>
        <v>6</v>
      </c>
      <c r="F86" s="1">
        <f>AVERAGE($E$2:E86)</f>
        <v>5.2</v>
      </c>
      <c r="G86" s="1">
        <f t="shared" si="41"/>
        <v>0.2</v>
      </c>
      <c r="H86" s="1">
        <f t="shared" si="42"/>
        <v>12</v>
      </c>
      <c r="I86" s="1">
        <f>AVERAGE($D$2:D86)</f>
        <v>30.505882352941178</v>
      </c>
      <c r="J86" s="1">
        <f t="shared" si="43"/>
        <v>42.505882352941178</v>
      </c>
      <c r="K86" s="4" cm="1">
        <f t="array" ref="K86">_xlfn.IFS(J86&gt;60, J86-60, J86&lt;60, J86, J86=60, 0)</f>
        <v>42.505882352941178</v>
      </c>
      <c r="L86" s="1">
        <f t="shared" si="44"/>
        <v>5</v>
      </c>
      <c r="M86" s="3">
        <f t="shared" si="45"/>
        <v>42.5</v>
      </c>
      <c r="N86" s="1" t="str">
        <f t="shared" si="36"/>
        <v>5:42.5 min/km</v>
      </c>
      <c r="O86" s="2" t="str">
        <f t="shared" si="37"/>
        <v>5:42.5 min/km</v>
      </c>
      <c r="P86" s="1" t="str">
        <f t="shared" si="38"/>
        <v>February</v>
      </c>
      <c r="Q86" s="47">
        <f>IF(COUNTA(C86)=1,(Table1[[#This Row],[min]]+(Table1[[#This Row],[sec]]/60))/1440, "")</f>
        <v>4.1898148148148146E-3</v>
      </c>
    </row>
    <row r="87" spans="1:17" x14ac:dyDescent="0.25">
      <c r="A87" s="1">
        <v>86</v>
      </c>
      <c r="B87" s="6">
        <v>46070</v>
      </c>
      <c r="C87" s="1">
        <v>524</v>
      </c>
      <c r="D87" s="1">
        <f t="shared" si="39"/>
        <v>24</v>
      </c>
      <c r="E87" s="1">
        <f t="shared" si="40"/>
        <v>5</v>
      </c>
      <c r="F87" s="1">
        <f>AVERAGE($E$2:E87)</f>
        <v>5.1976744186046515</v>
      </c>
      <c r="G87" s="1">
        <f t="shared" si="41"/>
        <v>0.19700000000000001</v>
      </c>
      <c r="H87" s="1">
        <f t="shared" si="42"/>
        <v>11.82</v>
      </c>
      <c r="I87" s="1">
        <f>AVERAGE($D$2:D87)</f>
        <v>30.430232558139537</v>
      </c>
      <c r="J87" s="1">
        <f t="shared" si="43"/>
        <v>42.250232558139537</v>
      </c>
      <c r="K87" s="4" cm="1">
        <f t="array" ref="K87">_xlfn.IFS(J87&gt;60, J87-60, J87&lt;60, J87, J87=60, 0)</f>
        <v>42.250232558139537</v>
      </c>
      <c r="L87" s="1">
        <f t="shared" si="44"/>
        <v>5</v>
      </c>
      <c r="M87" s="3">
        <f t="shared" si="45"/>
        <v>42.25</v>
      </c>
      <c r="N87" s="1" t="str">
        <f t="shared" si="36"/>
        <v>5:42.25 min/km</v>
      </c>
      <c r="O87" s="2" t="str">
        <f t="shared" si="37"/>
        <v>5:42.25 min/km</v>
      </c>
      <c r="P87" s="1" t="str">
        <f t="shared" si="38"/>
        <v>February</v>
      </c>
      <c r="Q87" s="47">
        <f>IF(COUNTA(C87)=1,(Table1[[#This Row],[min]]+(Table1[[#This Row],[sec]]/60))/1440, "")</f>
        <v>3.7500000000000003E-3</v>
      </c>
    </row>
    <row r="88" spans="1:17" x14ac:dyDescent="0.25">
      <c r="A88" s="1">
        <v>87</v>
      </c>
      <c r="B88" s="6">
        <v>46071</v>
      </c>
      <c r="C88" s="1">
        <v>455</v>
      </c>
      <c r="D88" s="1">
        <f t="shared" si="39"/>
        <v>55</v>
      </c>
      <c r="E88" s="1">
        <f t="shared" si="40"/>
        <v>4</v>
      </c>
      <c r="F88" s="1">
        <f>AVERAGE($E$2:E88)</f>
        <v>5.1839080459770113</v>
      </c>
      <c r="G88" s="1">
        <f t="shared" si="41"/>
        <v>0.183</v>
      </c>
      <c r="H88" s="1">
        <f t="shared" si="42"/>
        <v>10.98</v>
      </c>
      <c r="I88" s="1">
        <f>AVERAGE($D$2:D88)</f>
        <v>30.712643678160919</v>
      </c>
      <c r="J88" s="1">
        <f t="shared" si="43"/>
        <v>41.69264367816092</v>
      </c>
      <c r="K88" s="4" cm="1">
        <f t="array" ref="K88">_xlfn.IFS(J88&gt;60, J88-60, J88&lt;60, J88, J88=60, 0)</f>
        <v>41.69264367816092</v>
      </c>
      <c r="L88" s="1">
        <f t="shared" si="44"/>
        <v>5</v>
      </c>
      <c r="M88" s="3">
        <f t="shared" si="45"/>
        <v>41.69</v>
      </c>
      <c r="N88" s="1" t="str">
        <f t="shared" ref="N88" si="46">IF(K88&lt;10, CONCATENATE(L88, ":", 0, M88, " min/km"), CONCATENATE(L88, ":", M88, " min/km"))</f>
        <v>5:41.69 min/km</v>
      </c>
      <c r="O88" s="2" t="str">
        <f t="shared" si="37"/>
        <v>5:41.69 min/km</v>
      </c>
      <c r="P88" s="1" t="str">
        <f t="shared" si="38"/>
        <v>February</v>
      </c>
      <c r="Q88" s="47">
        <f>IF(COUNTA(C88)=1,(Table1[[#This Row],[min]]+(Table1[[#This Row],[sec]]/60))/1440, "")</f>
        <v>3.414351851851852E-3</v>
      </c>
    </row>
    <row r="89" spans="1:17" x14ac:dyDescent="0.25">
      <c r="A89" s="1">
        <v>88</v>
      </c>
      <c r="B89" s="6">
        <v>46083</v>
      </c>
      <c r="C89" s="1">
        <v>551</v>
      </c>
      <c r="D89" s="1">
        <f t="shared" ref="D89:D95" si="47">VALUE(RIGHT(C89, 2))</f>
        <v>51</v>
      </c>
      <c r="E89" s="1">
        <f t="shared" ref="E89:E95" si="48">VALUE(LEFT(C89,1))</f>
        <v>5</v>
      </c>
      <c r="F89" s="1">
        <f>AVERAGE($E$2:E89)</f>
        <v>5.1818181818181817</v>
      </c>
      <c r="G89" s="1">
        <f t="shared" ref="G89:G95" si="49">IF(INT(F89)=F89,0,VALUE(MID(F89,2,4)))</f>
        <v>0.18099999999999999</v>
      </c>
      <c r="H89" s="1">
        <f t="shared" ref="H89:H95" si="50">G89*60</f>
        <v>10.86</v>
      </c>
      <c r="I89" s="1">
        <f>AVERAGE($D$2:D89)</f>
        <v>30.943181818181817</v>
      </c>
      <c r="J89" s="1">
        <f t="shared" ref="J89:J95" si="51">H89+I89</f>
        <v>41.803181818181812</v>
      </c>
      <c r="K89" s="4" cm="1">
        <f t="array" ref="K89">_xlfn.IFS(J89&gt;60, J89-60, J89&lt;60, J89, J89=60, 0)</f>
        <v>41.803181818181812</v>
      </c>
      <c r="L89" s="1">
        <f t="shared" ref="L89:L95" si="52">IF(J89&gt;60, 1 + VALUE(LEFT(F89,1)), VALUE(LEFT(F89,1)))</f>
        <v>5</v>
      </c>
      <c r="M89" s="3">
        <f t="shared" ref="M89:M95" si="53" xml:space="preserve"> VALUE(LEFT(K89,5))</f>
        <v>41.8</v>
      </c>
      <c r="N89" s="1" t="str">
        <f t="shared" ref="N89:N95" si="54">IF(K89&lt;10, CONCATENATE(L89, ":", 0, M89, " min/km"), CONCATENATE(L89, ":", M89, " min/km"))</f>
        <v>5:41.8 min/km</v>
      </c>
      <c r="O89" s="2" t="str">
        <f t="shared" ref="O89:O95" si="55">IF(COUNT(C89)=1, N89, "")</f>
        <v>5:41.8 min/km</v>
      </c>
      <c r="P89" s="1" t="str">
        <f t="shared" ref="P89:P152" si="56">IF(COUNTA(B89)=1,TEXT(B89, "mmmm"), "")</f>
        <v>March</v>
      </c>
      <c r="Q89" s="47">
        <f>IF(COUNTA(C89)=1,(Table1[[#This Row],[min]]+(Table1[[#This Row],[sec]]/60))/1440, "")</f>
        <v>4.0625000000000001E-3</v>
      </c>
    </row>
    <row r="90" spans="1:17" x14ac:dyDescent="0.25">
      <c r="A90" s="1">
        <v>89</v>
      </c>
      <c r="B90" s="6">
        <v>46084</v>
      </c>
      <c r="C90" s="1">
        <v>537</v>
      </c>
      <c r="D90" s="1">
        <f t="shared" si="47"/>
        <v>37</v>
      </c>
      <c r="E90" s="1">
        <f t="shared" si="48"/>
        <v>5</v>
      </c>
      <c r="F90" s="1">
        <f>AVERAGE($E$2:E90)</f>
        <v>5.1797752808988768</v>
      </c>
      <c r="G90" s="1">
        <f t="shared" si="49"/>
        <v>0.17899999999999999</v>
      </c>
      <c r="H90" s="1">
        <f t="shared" si="50"/>
        <v>10.74</v>
      </c>
      <c r="I90" s="1">
        <f>AVERAGE($D$2:D90)</f>
        <v>31.011235955056179</v>
      </c>
      <c r="J90" s="1">
        <f t="shared" si="51"/>
        <v>41.751235955056181</v>
      </c>
      <c r="K90" s="4" cm="1">
        <f t="array" ref="K90">_xlfn.IFS(J90&gt;60, J90-60, J90&lt;60, J90, J90=60, 0)</f>
        <v>41.751235955056181</v>
      </c>
      <c r="L90" s="1">
        <f t="shared" si="52"/>
        <v>5</v>
      </c>
      <c r="M90" s="3">
        <f t="shared" si="53"/>
        <v>41.75</v>
      </c>
      <c r="N90" s="1" t="str">
        <f t="shared" si="54"/>
        <v>5:41.75 min/km</v>
      </c>
      <c r="O90" s="2" t="str">
        <f t="shared" si="55"/>
        <v>5:41.75 min/km</v>
      </c>
      <c r="P90" s="1" t="str">
        <f t="shared" si="56"/>
        <v>March</v>
      </c>
      <c r="Q90" s="47">
        <f>IF(COUNTA(C90)=1,(Table1[[#This Row],[min]]+(Table1[[#This Row],[sec]]/60))/1440, "")</f>
        <v>3.9004629629629632E-3</v>
      </c>
    </row>
    <row r="91" spans="1:17" x14ac:dyDescent="0.25">
      <c r="A91" s="1">
        <v>90</v>
      </c>
      <c r="B91" s="6">
        <v>46087</v>
      </c>
      <c r="C91" s="1">
        <v>526</v>
      </c>
      <c r="D91" s="1">
        <f t="shared" si="47"/>
        <v>26</v>
      </c>
      <c r="E91" s="1">
        <f t="shared" si="48"/>
        <v>5</v>
      </c>
      <c r="F91" s="1">
        <f>AVERAGE($E$2:E91)</f>
        <v>5.177777777777778</v>
      </c>
      <c r="G91" s="1">
        <f t="shared" si="49"/>
        <v>0.17699999999999999</v>
      </c>
      <c r="H91" s="1">
        <f t="shared" si="50"/>
        <v>10.62</v>
      </c>
      <c r="I91" s="1">
        <f>AVERAGE($D$2:D91)</f>
        <v>30.955555555555556</v>
      </c>
      <c r="J91" s="1">
        <f t="shared" si="51"/>
        <v>41.575555555555553</v>
      </c>
      <c r="K91" s="4" cm="1">
        <f t="array" ref="K91">_xlfn.IFS(J91&gt;60, J91-60, J91&lt;60, J91, J91=60, 0)</f>
        <v>41.575555555555553</v>
      </c>
      <c r="L91" s="1">
        <f t="shared" si="52"/>
        <v>5</v>
      </c>
      <c r="M91" s="3">
        <f t="shared" si="53"/>
        <v>41.57</v>
      </c>
      <c r="N91" s="1" t="str">
        <f t="shared" si="54"/>
        <v>5:41.57 min/km</v>
      </c>
      <c r="O91" s="2" t="str">
        <f t="shared" si="55"/>
        <v>5:41.57 min/km</v>
      </c>
      <c r="P91" s="1" t="str">
        <f t="shared" si="56"/>
        <v>March</v>
      </c>
      <c r="Q91" s="47">
        <f>IF(COUNTA(C91)=1,(Table1[[#This Row],[min]]+(Table1[[#This Row],[sec]]/60))/1440, "")</f>
        <v>3.7731481481481483E-3</v>
      </c>
    </row>
    <row r="92" spans="1:17" x14ac:dyDescent="0.25">
      <c r="A92" s="1">
        <v>91</v>
      </c>
      <c r="B92" s="6">
        <v>46088</v>
      </c>
      <c r="C92" s="1">
        <v>557</v>
      </c>
      <c r="D92" s="1">
        <f t="shared" si="47"/>
        <v>57</v>
      </c>
      <c r="E92" s="1">
        <f t="shared" si="48"/>
        <v>5</v>
      </c>
      <c r="F92" s="1">
        <f>AVERAGE($E$2:E92)</f>
        <v>5.1758241758241761</v>
      </c>
      <c r="G92" s="1">
        <f t="shared" si="49"/>
        <v>0.17499999999999999</v>
      </c>
      <c r="H92" s="1">
        <f t="shared" si="50"/>
        <v>10.5</v>
      </c>
      <c r="I92" s="1">
        <f>AVERAGE($D$2:D92)</f>
        <v>31.241758241758241</v>
      </c>
      <c r="J92" s="1">
        <f t="shared" si="51"/>
        <v>41.741758241758241</v>
      </c>
      <c r="K92" s="4" cm="1">
        <f t="array" ref="K92">_xlfn.IFS(J92&gt;60, J92-60, J92&lt;60, J92, J92=60, 0)</f>
        <v>41.741758241758241</v>
      </c>
      <c r="L92" s="1">
        <f t="shared" si="52"/>
        <v>5</v>
      </c>
      <c r="M92" s="3">
        <f t="shared" si="53"/>
        <v>41.74</v>
      </c>
      <c r="N92" s="1" t="str">
        <f t="shared" si="54"/>
        <v>5:41.74 min/km</v>
      </c>
      <c r="O92" s="2" t="str">
        <f t="shared" si="55"/>
        <v>5:41.74 min/km</v>
      </c>
      <c r="P92" s="1" t="str">
        <f t="shared" si="56"/>
        <v>March</v>
      </c>
      <c r="Q92" s="47">
        <f>IF(COUNTA(C92)=1,(Table1[[#This Row],[min]]+(Table1[[#This Row],[sec]]/60))/1440, "")</f>
        <v>4.1319444444444442E-3</v>
      </c>
    </row>
    <row r="93" spans="1:17" x14ac:dyDescent="0.25">
      <c r="A93" s="1">
        <v>92</v>
      </c>
      <c r="B93" s="6">
        <v>46089</v>
      </c>
      <c r="C93" s="1">
        <v>540</v>
      </c>
      <c r="D93" s="1">
        <f t="shared" si="47"/>
        <v>40</v>
      </c>
      <c r="E93" s="1">
        <f t="shared" si="48"/>
        <v>5</v>
      </c>
      <c r="F93" s="1">
        <f>AVERAGE($E$2:E93)</f>
        <v>5.1739130434782608</v>
      </c>
      <c r="G93" s="1">
        <f t="shared" si="49"/>
        <v>0.17299999999999999</v>
      </c>
      <c r="H93" s="1">
        <f t="shared" si="50"/>
        <v>10.379999999999999</v>
      </c>
      <c r="I93" s="1">
        <f>AVERAGE($D$2:D93)</f>
        <v>31.336956521739129</v>
      </c>
      <c r="J93" s="1">
        <f t="shared" si="51"/>
        <v>41.716956521739128</v>
      </c>
      <c r="K93" s="4" cm="1">
        <f t="array" ref="K93">_xlfn.IFS(J93&gt;60, J93-60, J93&lt;60, J93, J93=60, 0)</f>
        <v>41.716956521739128</v>
      </c>
      <c r="L93" s="1">
        <f t="shared" si="52"/>
        <v>5</v>
      </c>
      <c r="M93" s="3">
        <f t="shared" si="53"/>
        <v>41.71</v>
      </c>
      <c r="N93" s="1" t="str">
        <f t="shared" si="54"/>
        <v>5:41.71 min/km</v>
      </c>
      <c r="O93" s="2" t="str">
        <f t="shared" si="55"/>
        <v>5:41.71 min/km</v>
      </c>
      <c r="P93" s="1" t="str">
        <f t="shared" si="56"/>
        <v>March</v>
      </c>
      <c r="Q93" s="47">
        <f>IF(COUNTA(C93)=1,(Table1[[#This Row],[min]]+(Table1[[#This Row],[sec]]/60))/1440, "")</f>
        <v>3.9351851851851857E-3</v>
      </c>
    </row>
    <row r="94" spans="1:17" x14ac:dyDescent="0.25">
      <c r="A94" s="1">
        <v>93</v>
      </c>
      <c r="B94" s="6">
        <v>46093</v>
      </c>
      <c r="C94" s="1">
        <v>525</v>
      </c>
      <c r="D94" s="1">
        <f t="shared" si="47"/>
        <v>25</v>
      </c>
      <c r="E94" s="1">
        <f t="shared" si="48"/>
        <v>5</v>
      </c>
      <c r="F94" s="1">
        <f>AVERAGE($E$2:E94)</f>
        <v>5.172043010752688</v>
      </c>
      <c r="G94" s="1">
        <f t="shared" si="49"/>
        <v>0.17199999999999999</v>
      </c>
      <c r="H94" s="1">
        <f t="shared" si="50"/>
        <v>10.319999999999999</v>
      </c>
      <c r="I94" s="1">
        <f>AVERAGE($D$2:D94)</f>
        <v>31.268817204301076</v>
      </c>
      <c r="J94" s="1">
        <f t="shared" si="51"/>
        <v>41.588817204301073</v>
      </c>
      <c r="K94" s="4" cm="1">
        <f t="array" ref="K94">_xlfn.IFS(J94&gt;60, J94-60, J94&lt;60, J94, J94=60, 0)</f>
        <v>41.588817204301073</v>
      </c>
      <c r="L94" s="1">
        <f t="shared" si="52"/>
        <v>5</v>
      </c>
      <c r="M94" s="3">
        <f t="shared" si="53"/>
        <v>41.58</v>
      </c>
      <c r="N94" s="1" t="str">
        <f t="shared" si="54"/>
        <v>5:41.58 min/km</v>
      </c>
      <c r="O94" s="2" t="str">
        <f t="shared" si="55"/>
        <v>5:41.58 min/km</v>
      </c>
      <c r="P94" s="1" t="str">
        <f t="shared" si="56"/>
        <v>March</v>
      </c>
      <c r="Q94" s="47">
        <f>IF(COUNTA(C94)=1,(Table1[[#This Row],[min]]+(Table1[[#This Row],[sec]]/60))/1440, "")</f>
        <v>3.7615740740740743E-3</v>
      </c>
    </row>
    <row r="95" spans="1:17" x14ac:dyDescent="0.25">
      <c r="A95" s="1">
        <v>94</v>
      </c>
      <c r="B95" s="6">
        <v>46094</v>
      </c>
      <c r="C95" s="1">
        <v>526</v>
      </c>
      <c r="D95" s="1">
        <f t="shared" si="47"/>
        <v>26</v>
      </c>
      <c r="E95" s="1">
        <f t="shared" si="48"/>
        <v>5</v>
      </c>
      <c r="F95" s="1">
        <f>AVERAGE($E$2:E95)</f>
        <v>5.1702127659574471</v>
      </c>
      <c r="G95" s="1">
        <f t="shared" si="49"/>
        <v>0.17</v>
      </c>
      <c r="H95" s="1">
        <f t="shared" si="50"/>
        <v>10.200000000000001</v>
      </c>
      <c r="I95" s="1">
        <f>AVERAGE($D$2:D95)</f>
        <v>31.212765957446809</v>
      </c>
      <c r="J95" s="1">
        <f t="shared" si="51"/>
        <v>41.412765957446808</v>
      </c>
      <c r="K95" s="4" cm="1">
        <f t="array" ref="K95">_xlfn.IFS(J95&gt;60, J95-60, J95&lt;60, J95, J95=60, 0)</f>
        <v>41.412765957446808</v>
      </c>
      <c r="L95" s="1">
        <f t="shared" si="52"/>
        <v>5</v>
      </c>
      <c r="M95" s="3">
        <f t="shared" si="53"/>
        <v>41.41</v>
      </c>
      <c r="N95" s="1" t="str">
        <f t="shared" si="54"/>
        <v>5:41.41 min/km</v>
      </c>
      <c r="O95" s="2" t="str">
        <f t="shared" si="55"/>
        <v>5:41.41 min/km</v>
      </c>
      <c r="P95" s="1" t="str">
        <f t="shared" si="56"/>
        <v>March</v>
      </c>
      <c r="Q95" s="47">
        <f>IF(COUNTA(C95)=1,(Table1[[#This Row],[min]]+(Table1[[#This Row],[sec]]/60))/1440, "")</f>
        <v>3.7731481481481483E-3</v>
      </c>
    </row>
    <row r="96" spans="1:17" x14ac:dyDescent="0.25">
      <c r="A96" s="1">
        <v>95</v>
      </c>
      <c r="B96" s="6">
        <v>46095</v>
      </c>
      <c r="C96" s="1">
        <v>618</v>
      </c>
      <c r="D96" s="1">
        <f t="shared" ref="D96:D102" si="57">VALUE(RIGHT(C96, 2))</f>
        <v>18</v>
      </c>
      <c r="E96" s="1">
        <f t="shared" ref="E96:E102" si="58">VALUE(LEFT(C96,1))</f>
        <v>6</v>
      </c>
      <c r="F96" s="1">
        <f>AVERAGE($E$2:E96)</f>
        <v>5.1789473684210527</v>
      </c>
      <c r="G96" s="1">
        <f t="shared" ref="G96:G98" si="59">IF(INT(F96)=F96,0,VALUE(MID(F96,2,4)))</f>
        <v>0.17799999999999999</v>
      </c>
      <c r="H96" s="1">
        <f t="shared" ref="H96:H98" si="60">G96*60</f>
        <v>10.68</v>
      </c>
      <c r="I96" s="1">
        <f>AVERAGE($D$2:D96)</f>
        <v>31.073684210526316</v>
      </c>
      <c r="J96" s="1">
        <f t="shared" ref="J96:J98" si="61">H96+I96</f>
        <v>41.753684210526316</v>
      </c>
      <c r="K96" s="4" cm="1">
        <f t="array" ref="K96">_xlfn.IFS(J96&gt;60, J96-60, J96&lt;60, J96, J96=60, 0)</f>
        <v>41.753684210526316</v>
      </c>
      <c r="L96" s="1">
        <f t="shared" ref="L96:L98" si="62">IF(J96&gt;60, 1 + VALUE(LEFT(F96,1)), VALUE(LEFT(F96,1)))</f>
        <v>5</v>
      </c>
      <c r="M96" s="3">
        <f t="shared" ref="M96:M98" si="63" xml:space="preserve"> VALUE(LEFT(K96,5))</f>
        <v>41.75</v>
      </c>
      <c r="N96" s="1" t="str">
        <f t="shared" ref="N96:N98" si="64">IF(K96&lt;10, CONCATENATE(L96, ":", 0, M96, " min/km"), CONCATENATE(L96, ":", M96, " min/km"))</f>
        <v>5:41.75 min/km</v>
      </c>
      <c r="O96" s="2" t="str">
        <f t="shared" ref="O96:O98" si="65">IF(COUNT(C96)=1, N96, "")</f>
        <v>5:41.75 min/km</v>
      </c>
      <c r="P96" s="1" t="str">
        <f t="shared" si="56"/>
        <v>March</v>
      </c>
      <c r="Q96" s="47">
        <f>IF(COUNTA(C96)=1,(Table1[[#This Row],[min]]+(Table1[[#This Row],[sec]]/60))/1440, "")</f>
        <v>4.3749999999999995E-3</v>
      </c>
    </row>
    <row r="97" spans="1:17" x14ac:dyDescent="0.25">
      <c r="A97" s="1">
        <v>96</v>
      </c>
      <c r="B97" s="6">
        <v>46097</v>
      </c>
      <c r="C97" s="1">
        <v>554</v>
      </c>
      <c r="D97" s="1">
        <f t="shared" si="57"/>
        <v>54</v>
      </c>
      <c r="E97" s="1">
        <f t="shared" si="58"/>
        <v>5</v>
      </c>
      <c r="F97" s="1">
        <f>AVERAGE($E$2:E97)</f>
        <v>5.177083333333333</v>
      </c>
      <c r="G97" s="1">
        <f t="shared" si="59"/>
        <v>0.17699999999999999</v>
      </c>
      <c r="H97" s="1">
        <f t="shared" si="60"/>
        <v>10.62</v>
      </c>
      <c r="I97" s="1">
        <f>AVERAGE($D$2:D97)</f>
        <v>31.3125</v>
      </c>
      <c r="J97" s="1">
        <f t="shared" si="61"/>
        <v>41.932499999999997</v>
      </c>
      <c r="K97" s="4" cm="1">
        <f t="array" ref="K97">_xlfn.IFS(J97&gt;60, J97-60, J97&lt;60, J97, J97=60, 0)</f>
        <v>41.932499999999997</v>
      </c>
      <c r="L97" s="1">
        <f t="shared" si="62"/>
        <v>5</v>
      </c>
      <c r="M97" s="3">
        <f t="shared" si="63"/>
        <v>41.93</v>
      </c>
      <c r="N97" s="1" t="str">
        <f t="shared" si="64"/>
        <v>5:41.93 min/km</v>
      </c>
      <c r="O97" s="2" t="str">
        <f t="shared" si="65"/>
        <v>5:41.93 min/km</v>
      </c>
      <c r="P97" s="1" t="str">
        <f>IF(COUNTA(B97)=1,TEXT(B97, "mmmm"), "")</f>
        <v>March</v>
      </c>
      <c r="Q97" s="47">
        <f>IF(COUNTA(C97)=1,(Table1[[#This Row],[min]]+(Table1[[#This Row],[sec]]/60))/1440, "")</f>
        <v>4.0972222222222226E-3</v>
      </c>
    </row>
    <row r="98" spans="1:17" x14ac:dyDescent="0.25">
      <c r="A98" s="1">
        <v>97</v>
      </c>
      <c r="B98" s="6">
        <v>46098</v>
      </c>
      <c r="C98" s="1">
        <v>552</v>
      </c>
      <c r="D98" s="1">
        <f t="shared" si="57"/>
        <v>52</v>
      </c>
      <c r="E98" s="1">
        <f t="shared" si="58"/>
        <v>5</v>
      </c>
      <c r="F98" s="1">
        <f>AVERAGE($E$2:E98)</f>
        <v>5.1752577319587632</v>
      </c>
      <c r="G98" s="1">
        <f t="shared" si="59"/>
        <v>0.17499999999999999</v>
      </c>
      <c r="H98" s="1">
        <f t="shared" si="60"/>
        <v>10.5</v>
      </c>
      <c r="I98" s="1">
        <f>AVERAGE($D$2:D98)</f>
        <v>31.52577319587629</v>
      </c>
      <c r="J98" s="1">
        <f t="shared" si="61"/>
        <v>42.02577319587629</v>
      </c>
      <c r="K98" s="4" cm="1">
        <f t="array" ref="K98">_xlfn.IFS(J98&gt;60, J98-60, J98&lt;60, J98, J98=60, 0)</f>
        <v>42.02577319587629</v>
      </c>
      <c r="L98" s="1">
        <f t="shared" si="62"/>
        <v>5</v>
      </c>
      <c r="M98" s="3">
        <f t="shared" si="63"/>
        <v>42.02</v>
      </c>
      <c r="N98" s="1" t="str">
        <f t="shared" si="64"/>
        <v>5:42.02 min/km</v>
      </c>
      <c r="O98" s="2" t="str">
        <f t="shared" si="65"/>
        <v>5:42.02 min/km</v>
      </c>
      <c r="P98" s="1" t="str">
        <f>IF(COUNTA(B98)=1,TEXT(B98, "mmmm"), "")</f>
        <v>March</v>
      </c>
      <c r="Q98" s="47">
        <f>IF(COUNTA(C98)=1,(Table1[[#This Row],[min]]+(Table1[[#This Row],[sec]]/60))/1440, "")</f>
        <v>4.0740740740740746E-3</v>
      </c>
    </row>
    <row r="99" spans="1:17" x14ac:dyDescent="0.25">
      <c r="A99" s="1">
        <v>98</v>
      </c>
      <c r="B99" s="6">
        <v>46102</v>
      </c>
      <c r="C99" s="1">
        <v>511</v>
      </c>
      <c r="D99" s="1">
        <f t="shared" si="57"/>
        <v>11</v>
      </c>
      <c r="E99" s="1">
        <f t="shared" si="58"/>
        <v>5</v>
      </c>
      <c r="F99" s="1">
        <f>AVERAGE($E$2:E99)</f>
        <v>5.1734693877551017</v>
      </c>
      <c r="G99" s="1">
        <f t="shared" ref="G99:G162" si="66">IF(INT(F99)=F99,0,VALUE(MID(F99,2,4)))</f>
        <v>0.17299999999999999</v>
      </c>
      <c r="H99" s="1">
        <f t="shared" ref="H99:H162" si="67">G99*60</f>
        <v>10.379999999999999</v>
      </c>
      <c r="I99" s="1">
        <f>AVERAGE($D$2:D99)</f>
        <v>31.316326530612244</v>
      </c>
      <c r="J99" s="1">
        <f t="shared" ref="J99:J162" si="68">H99+I99</f>
        <v>41.696326530612239</v>
      </c>
      <c r="K99" s="4" cm="1">
        <f t="array" ref="K99">_xlfn.IFS(J99&gt;60, J99-60, J99&lt;60, J99, J99=60, 0)</f>
        <v>41.696326530612239</v>
      </c>
      <c r="L99" s="1">
        <f t="shared" ref="L99:L162" si="69">IF(J99&gt;60, 1 + VALUE(LEFT(F99,1)), VALUE(LEFT(F99,1)))</f>
        <v>5</v>
      </c>
      <c r="M99" s="3">
        <f t="shared" ref="M99:M162" si="70" xml:space="preserve"> VALUE(LEFT(K99,5))</f>
        <v>41.69</v>
      </c>
      <c r="N99" s="1" t="str">
        <f t="shared" ref="N99:N162" si="71">IF(K99&lt;10, CONCATENATE(L99, ":", 0, M99, " min/km"), CONCATENATE(L99, ":", M99, " min/km"))</f>
        <v>5:41.69 min/km</v>
      </c>
      <c r="O99" s="2" t="str">
        <f t="shared" ref="O99:O162" si="72">IF(COUNT(C99)=1, N99, "")</f>
        <v>5:41.69 min/km</v>
      </c>
      <c r="P99" s="1" t="str">
        <f t="shared" si="56"/>
        <v>March</v>
      </c>
      <c r="Q99" s="47">
        <f>IF(COUNTA(C99)=1,(Table1[[#This Row],[min]]+(Table1[[#This Row],[sec]]/60))/1440, "")</f>
        <v>3.5995370370370374E-3</v>
      </c>
    </row>
    <row r="100" spans="1:17" x14ac:dyDescent="0.25">
      <c r="A100" s="1">
        <v>99</v>
      </c>
      <c r="B100" s="6">
        <v>46103</v>
      </c>
      <c r="C100" s="1">
        <v>453</v>
      </c>
      <c r="D100" s="1">
        <f t="shared" si="57"/>
        <v>53</v>
      </c>
      <c r="E100" s="1">
        <f t="shared" si="58"/>
        <v>4</v>
      </c>
      <c r="F100" s="1">
        <f>AVERAGE($E$2:E100)</f>
        <v>5.1616161616161618</v>
      </c>
      <c r="G100" s="1">
        <f t="shared" si="66"/>
        <v>0.161</v>
      </c>
      <c r="H100" s="1">
        <f t="shared" si="67"/>
        <v>9.66</v>
      </c>
      <c r="I100" s="1">
        <f>AVERAGE($D$2:D100)</f>
        <v>31.535353535353536</v>
      </c>
      <c r="J100" s="1">
        <f t="shared" si="68"/>
        <v>41.195353535353533</v>
      </c>
      <c r="K100" s="4" cm="1">
        <f t="array" ref="K100">_xlfn.IFS(J100&gt;60, J100-60, J100&lt;60, J100, J100=60, 0)</f>
        <v>41.195353535353533</v>
      </c>
      <c r="L100" s="1">
        <f t="shared" si="69"/>
        <v>5</v>
      </c>
      <c r="M100" s="3">
        <f t="shared" si="70"/>
        <v>41.19</v>
      </c>
      <c r="N100" s="1" t="str">
        <f t="shared" si="71"/>
        <v>5:41.19 min/km</v>
      </c>
      <c r="O100" s="2" t="str">
        <f t="shared" si="72"/>
        <v>5:41.19 min/km</v>
      </c>
      <c r="P100" s="1" t="str">
        <f t="shared" si="56"/>
        <v>March</v>
      </c>
      <c r="Q100" s="47">
        <f>IF(COUNTA(C100)=1,(Table1[[#This Row],[min]]+(Table1[[#This Row],[sec]]/60))/1440, "")</f>
        <v>3.3912037037037036E-3</v>
      </c>
    </row>
    <row r="101" spans="1:17" x14ac:dyDescent="0.25">
      <c r="A101" s="1">
        <v>100</v>
      </c>
      <c r="B101" s="6">
        <v>46105</v>
      </c>
      <c r="C101" s="1">
        <v>515</v>
      </c>
      <c r="D101" s="1">
        <f t="shared" si="57"/>
        <v>15</v>
      </c>
      <c r="E101" s="1">
        <f t="shared" si="58"/>
        <v>5</v>
      </c>
      <c r="F101" s="1">
        <f>AVERAGE($E$2:E101)</f>
        <v>5.16</v>
      </c>
      <c r="G101" s="1">
        <f t="shared" si="66"/>
        <v>0.16</v>
      </c>
      <c r="H101" s="1">
        <f t="shared" si="67"/>
        <v>9.6</v>
      </c>
      <c r="I101" s="1">
        <f>AVERAGE($D$2:D101)</f>
        <v>31.37</v>
      </c>
      <c r="J101" s="1">
        <f t="shared" si="68"/>
        <v>40.97</v>
      </c>
      <c r="K101" s="4" cm="1">
        <f t="array" ref="K101">_xlfn.IFS(J101&gt;60, J101-60, J101&lt;60, J101, J101=60, 0)</f>
        <v>40.97</v>
      </c>
      <c r="L101" s="1">
        <f t="shared" si="69"/>
        <v>5</v>
      </c>
      <c r="M101" s="3">
        <f t="shared" si="70"/>
        <v>40.97</v>
      </c>
      <c r="N101" s="1" t="str">
        <f t="shared" si="71"/>
        <v>5:40.97 min/km</v>
      </c>
      <c r="O101" s="2" t="str">
        <f t="shared" si="72"/>
        <v>5:40.97 min/km</v>
      </c>
      <c r="P101" s="1" t="str">
        <f t="shared" si="56"/>
        <v>March</v>
      </c>
      <c r="Q101" s="47">
        <f>IF(COUNTA(C101)=1,(Table1[[#This Row],[min]]+(Table1[[#This Row],[sec]]/60))/1440, "")</f>
        <v>3.6458333333333334E-3</v>
      </c>
    </row>
    <row r="102" spans="1:17" x14ac:dyDescent="0.25">
      <c r="A102" s="1">
        <v>101</v>
      </c>
      <c r="B102" s="6">
        <v>46106</v>
      </c>
      <c r="C102" s="1">
        <v>524</v>
      </c>
      <c r="D102" s="1">
        <f t="shared" si="57"/>
        <v>24</v>
      </c>
      <c r="E102" s="1">
        <f t="shared" si="58"/>
        <v>5</v>
      </c>
      <c r="F102" s="1">
        <f>AVERAGE($E$2:E102)</f>
        <v>5.1584158415841586</v>
      </c>
      <c r="G102" s="1">
        <f t="shared" si="66"/>
        <v>0.158</v>
      </c>
      <c r="H102" s="1">
        <f t="shared" si="67"/>
        <v>9.48</v>
      </c>
      <c r="I102" s="1">
        <f>AVERAGE($D$2:D102)</f>
        <v>31.297029702970296</v>
      </c>
      <c r="J102" s="1">
        <f t="shared" si="68"/>
        <v>40.777029702970296</v>
      </c>
      <c r="K102" s="4" cm="1">
        <f t="array" ref="K102">_xlfn.IFS(J102&gt;60, J102-60, J102&lt;60, J102, J102=60, 0)</f>
        <v>40.777029702970296</v>
      </c>
      <c r="L102" s="1">
        <f t="shared" si="69"/>
        <v>5</v>
      </c>
      <c r="M102" s="3">
        <f t="shared" si="70"/>
        <v>40.770000000000003</v>
      </c>
      <c r="N102" s="1" t="str">
        <f t="shared" si="71"/>
        <v>5:40.77 min/km</v>
      </c>
      <c r="O102" s="2" t="str">
        <f t="shared" si="72"/>
        <v>5:40.77 min/km</v>
      </c>
      <c r="P102" s="1" t="str">
        <f t="shared" si="56"/>
        <v>March</v>
      </c>
      <c r="Q102" s="47">
        <f>IF(COUNTA(C102)=1,(Table1[[#This Row],[min]]+(Table1[[#This Row],[sec]]/60))/1440, "")</f>
        <v>3.7500000000000003E-3</v>
      </c>
    </row>
    <row r="103" spans="1:17" x14ac:dyDescent="0.25">
      <c r="A103" s="1">
        <v>102</v>
      </c>
      <c r="B103" s="6">
        <v>46107</v>
      </c>
      <c r="C103" s="1">
        <v>516</v>
      </c>
      <c r="D103" s="1">
        <f t="shared" ref="D103:D166" si="73">VALUE(RIGHT(C103, 2))</f>
        <v>16</v>
      </c>
      <c r="E103" s="1">
        <f t="shared" ref="E103:E166" si="74">VALUE(LEFT(C103,1))</f>
        <v>5</v>
      </c>
      <c r="F103" s="1">
        <f>AVERAGE($E$2:E103)</f>
        <v>5.1568627450980395</v>
      </c>
      <c r="G103" s="1">
        <f t="shared" si="66"/>
        <v>0.156</v>
      </c>
      <c r="H103" s="1">
        <f t="shared" si="67"/>
        <v>9.36</v>
      </c>
      <c r="I103" s="1">
        <f>AVERAGE($D$2:D103)</f>
        <v>31.147058823529413</v>
      </c>
      <c r="J103" s="1">
        <f t="shared" si="68"/>
        <v>40.507058823529412</v>
      </c>
      <c r="K103" s="4" cm="1">
        <f t="array" ref="K103">_xlfn.IFS(J103&gt;60, J103-60, J103&lt;60, J103, J103=60, 0)</f>
        <v>40.507058823529412</v>
      </c>
      <c r="L103" s="1">
        <f t="shared" si="69"/>
        <v>5</v>
      </c>
      <c r="M103" s="3">
        <f t="shared" si="70"/>
        <v>40.5</v>
      </c>
      <c r="N103" s="1" t="str">
        <f t="shared" si="71"/>
        <v>5:40.5 min/km</v>
      </c>
      <c r="O103" s="2" t="str">
        <f t="shared" si="72"/>
        <v>5:40.5 min/km</v>
      </c>
      <c r="P103" s="1" t="str">
        <f t="shared" si="56"/>
        <v>March</v>
      </c>
      <c r="Q103" s="47">
        <f>IF(COUNTA(C103)=1,(Table1[[#This Row],[min]]+(Table1[[#This Row],[sec]]/60))/1440, "")</f>
        <v>3.6574074074074074E-3</v>
      </c>
    </row>
    <row r="104" spans="1:17" x14ac:dyDescent="0.25">
      <c r="A104" s="1">
        <v>103</v>
      </c>
      <c r="B104" s="6">
        <v>46108</v>
      </c>
      <c r="C104" s="1">
        <v>518</v>
      </c>
      <c r="D104" s="1">
        <f t="shared" si="73"/>
        <v>18</v>
      </c>
      <c r="E104" s="1">
        <f t="shared" si="74"/>
        <v>5</v>
      </c>
      <c r="F104" s="1">
        <f>AVERAGE($E$2:E104)</f>
        <v>5.1553398058252426</v>
      </c>
      <c r="G104" s="1">
        <f t="shared" si="66"/>
        <v>0.155</v>
      </c>
      <c r="H104" s="1">
        <f t="shared" si="67"/>
        <v>9.3000000000000007</v>
      </c>
      <c r="I104" s="1">
        <f>AVERAGE($D$2:D104)</f>
        <v>31.019417475728154</v>
      </c>
      <c r="J104" s="1">
        <f t="shared" si="68"/>
        <v>40.319417475728159</v>
      </c>
      <c r="K104" s="4" cm="1">
        <f t="array" ref="K104">_xlfn.IFS(J104&gt;60, J104-60, J104&lt;60, J104, J104=60, 0)</f>
        <v>40.319417475728159</v>
      </c>
      <c r="L104" s="1">
        <f t="shared" si="69"/>
        <v>5</v>
      </c>
      <c r="M104" s="3">
        <f t="shared" si="70"/>
        <v>40.31</v>
      </c>
      <c r="N104" s="1" t="str">
        <f t="shared" si="71"/>
        <v>5:40.31 min/km</v>
      </c>
      <c r="O104" s="2" t="str">
        <f t="shared" si="72"/>
        <v>5:40.31 min/km</v>
      </c>
      <c r="P104" s="1" t="str">
        <f t="shared" si="56"/>
        <v>March</v>
      </c>
      <c r="Q104" s="47">
        <f>IF(COUNTA(C104)=1,(Table1[[#This Row],[min]]+(Table1[[#This Row],[sec]]/60))/1440, "")</f>
        <v>3.6805555555555554E-3</v>
      </c>
    </row>
    <row r="105" spans="1:17" x14ac:dyDescent="0.25">
      <c r="A105" s="1">
        <v>104</v>
      </c>
      <c r="B105" s="6">
        <v>46109</v>
      </c>
      <c r="C105" s="1">
        <v>543</v>
      </c>
      <c r="D105" s="1">
        <f t="shared" si="73"/>
        <v>43</v>
      </c>
      <c r="E105" s="1">
        <f t="shared" si="74"/>
        <v>5</v>
      </c>
      <c r="F105" s="1">
        <f>AVERAGE($E$2:E105)</f>
        <v>5.1538461538461542</v>
      </c>
      <c r="G105" s="1">
        <f t="shared" si="66"/>
        <v>0.153</v>
      </c>
      <c r="H105" s="1">
        <f t="shared" si="67"/>
        <v>9.18</v>
      </c>
      <c r="I105" s="1">
        <f>AVERAGE($D$2:D105)</f>
        <v>31.134615384615383</v>
      </c>
      <c r="J105" s="1">
        <f t="shared" si="68"/>
        <v>40.314615384615379</v>
      </c>
      <c r="K105" s="4" cm="1">
        <f t="array" ref="K105">_xlfn.IFS(J105&gt;60, J105-60, J105&lt;60, J105, J105=60, 0)</f>
        <v>40.314615384615379</v>
      </c>
      <c r="L105" s="1">
        <f t="shared" si="69"/>
        <v>5</v>
      </c>
      <c r="M105" s="3">
        <f t="shared" si="70"/>
        <v>40.31</v>
      </c>
      <c r="N105" s="1" t="str">
        <f t="shared" si="71"/>
        <v>5:40.31 min/km</v>
      </c>
      <c r="O105" s="2" t="str">
        <f t="shared" si="72"/>
        <v>5:40.31 min/km</v>
      </c>
      <c r="P105" s="1" t="str">
        <f t="shared" si="56"/>
        <v>March</v>
      </c>
      <c r="Q105" s="47">
        <f>IF(COUNTA(C105)=1,(Table1[[#This Row],[min]]+(Table1[[#This Row],[sec]]/60))/1440, "")</f>
        <v>3.9699074074074072E-3</v>
      </c>
    </row>
    <row r="106" spans="1:17" x14ac:dyDescent="0.25">
      <c r="A106" s="1">
        <v>105</v>
      </c>
      <c r="B106" s="6">
        <v>46110</v>
      </c>
      <c r="C106" s="1">
        <v>521</v>
      </c>
      <c r="D106" s="1">
        <f t="shared" si="73"/>
        <v>21</v>
      </c>
      <c r="E106" s="1">
        <f t="shared" si="74"/>
        <v>5</v>
      </c>
      <c r="F106" s="1">
        <f>AVERAGE($E$2:E106)</f>
        <v>5.1523809523809527</v>
      </c>
      <c r="G106" s="1">
        <f t="shared" si="66"/>
        <v>0.152</v>
      </c>
      <c r="H106" s="1">
        <f t="shared" si="67"/>
        <v>9.1199999999999992</v>
      </c>
      <c r="I106" s="1">
        <f>AVERAGE($D$2:D106)</f>
        <v>31.038095238095238</v>
      </c>
      <c r="J106" s="1">
        <f t="shared" si="68"/>
        <v>40.158095238095235</v>
      </c>
      <c r="K106" s="4" cm="1">
        <f t="array" ref="K106">_xlfn.IFS(J106&gt;60, J106-60, J106&lt;60, J106, J106=60, 0)</f>
        <v>40.158095238095235</v>
      </c>
      <c r="L106" s="1">
        <f t="shared" si="69"/>
        <v>5</v>
      </c>
      <c r="M106" s="3">
        <f t="shared" si="70"/>
        <v>40.15</v>
      </c>
      <c r="N106" s="1" t="str">
        <f t="shared" si="71"/>
        <v>5:40.15 min/km</v>
      </c>
      <c r="O106" s="2" t="str">
        <f t="shared" si="72"/>
        <v>5:40.15 min/km</v>
      </c>
      <c r="P106" s="1" t="str">
        <f t="shared" si="56"/>
        <v>March</v>
      </c>
      <c r="Q106" s="47">
        <f>IF(COUNTA(C106)=1,(Table1[[#This Row],[min]]+(Table1[[#This Row],[sec]]/60))/1440, "")</f>
        <v>3.7152777777777774E-3</v>
      </c>
    </row>
    <row r="107" spans="1:17" x14ac:dyDescent="0.25">
      <c r="A107" s="1">
        <v>106</v>
      </c>
      <c r="B107" s="6">
        <v>46112</v>
      </c>
      <c r="C107" s="1">
        <v>517</v>
      </c>
      <c r="D107" s="1">
        <f t="shared" si="73"/>
        <v>17</v>
      </c>
      <c r="E107" s="1">
        <f t="shared" si="74"/>
        <v>5</v>
      </c>
      <c r="F107" s="1">
        <f>AVERAGE($E$2:E107)</f>
        <v>5.1509433962264151</v>
      </c>
      <c r="G107" s="1">
        <f t="shared" si="66"/>
        <v>0.15</v>
      </c>
      <c r="H107" s="1">
        <f t="shared" si="67"/>
        <v>9</v>
      </c>
      <c r="I107" s="1">
        <f>AVERAGE($D$2:D107)</f>
        <v>30.90566037735849</v>
      </c>
      <c r="J107" s="1">
        <f t="shared" si="68"/>
        <v>39.905660377358487</v>
      </c>
      <c r="K107" s="4" cm="1">
        <f t="array" ref="K107">_xlfn.IFS(J107&gt;60, J107-60, J107&lt;60, J107, J107=60, 0)</f>
        <v>39.905660377358487</v>
      </c>
      <c r="L107" s="1">
        <f t="shared" si="69"/>
        <v>5</v>
      </c>
      <c r="M107" s="3">
        <f t="shared" si="70"/>
        <v>39.9</v>
      </c>
      <c r="N107" s="1" t="str">
        <f t="shared" si="71"/>
        <v>5:39.9 min/km</v>
      </c>
      <c r="O107" s="2" t="str">
        <f t="shared" si="72"/>
        <v>5:39.9 min/km</v>
      </c>
      <c r="P107" s="1" t="str">
        <f t="shared" si="56"/>
        <v>March</v>
      </c>
      <c r="Q107" s="47">
        <f>IF(COUNTA(C107)=1,(Table1[[#This Row],[min]]+(Table1[[#This Row],[sec]]/60))/1440, "")</f>
        <v>3.6689814814814814E-3</v>
      </c>
    </row>
    <row r="108" spans="1:17" x14ac:dyDescent="0.25">
      <c r="A108" s="1">
        <v>107</v>
      </c>
      <c r="B108" s="6">
        <v>46113</v>
      </c>
      <c r="C108" s="1">
        <v>530</v>
      </c>
      <c r="D108" s="1">
        <f t="shared" si="73"/>
        <v>30</v>
      </c>
      <c r="E108" s="1">
        <f t="shared" si="74"/>
        <v>5</v>
      </c>
      <c r="F108" s="1">
        <f>AVERAGE($E$2:E108)</f>
        <v>5.1495327102803738</v>
      </c>
      <c r="G108" s="1">
        <f t="shared" si="66"/>
        <v>0.14899999999999999</v>
      </c>
      <c r="H108" s="1">
        <f t="shared" si="67"/>
        <v>8.94</v>
      </c>
      <c r="I108" s="1">
        <f>AVERAGE($D$2:D108)</f>
        <v>30.897196261682243</v>
      </c>
      <c r="J108" s="1">
        <f t="shared" si="68"/>
        <v>39.837196261682244</v>
      </c>
      <c r="K108" s="4" cm="1">
        <f t="array" ref="K108">_xlfn.IFS(J108&gt;60, J108-60, J108&lt;60, J108, J108=60, 0)</f>
        <v>39.837196261682244</v>
      </c>
      <c r="L108" s="1">
        <f t="shared" si="69"/>
        <v>5</v>
      </c>
      <c r="M108" s="3">
        <f t="shared" si="70"/>
        <v>39.83</v>
      </c>
      <c r="N108" s="1" t="str">
        <f t="shared" si="71"/>
        <v>5:39.83 min/km</v>
      </c>
      <c r="O108" s="2" t="str">
        <f t="shared" si="72"/>
        <v>5:39.83 min/km</v>
      </c>
      <c r="P108" s="1" t="str">
        <f t="shared" si="56"/>
        <v>April</v>
      </c>
      <c r="Q108" s="47">
        <f>IF(COUNTA(C108)=1,(Table1[[#This Row],[min]]+(Table1[[#This Row],[sec]]/60))/1440, "")</f>
        <v>3.8194444444444443E-3</v>
      </c>
    </row>
    <row r="109" spans="1:17" x14ac:dyDescent="0.25">
      <c r="A109" s="1">
        <v>108</v>
      </c>
      <c r="B109" s="6">
        <v>46114</v>
      </c>
      <c r="C109" s="1">
        <v>554</v>
      </c>
      <c r="D109" s="1">
        <f t="shared" si="73"/>
        <v>54</v>
      </c>
      <c r="E109" s="1">
        <f t="shared" si="74"/>
        <v>5</v>
      </c>
      <c r="F109" s="1">
        <f>AVERAGE($E$2:E109)</f>
        <v>5.1481481481481479</v>
      </c>
      <c r="G109" s="1">
        <f t="shared" si="66"/>
        <v>0.14799999999999999</v>
      </c>
      <c r="H109" s="1">
        <f t="shared" si="67"/>
        <v>8.879999999999999</v>
      </c>
      <c r="I109" s="1">
        <f>AVERAGE($D$2:D109)</f>
        <v>31.111111111111111</v>
      </c>
      <c r="J109" s="1">
        <f t="shared" si="68"/>
        <v>39.99111111111111</v>
      </c>
      <c r="K109" s="4" cm="1">
        <f t="array" ref="K109">_xlfn.IFS(J109&gt;60, J109-60, J109&lt;60, J109, J109=60, 0)</f>
        <v>39.99111111111111</v>
      </c>
      <c r="L109" s="1">
        <f t="shared" si="69"/>
        <v>5</v>
      </c>
      <c r="M109" s="3">
        <f t="shared" si="70"/>
        <v>39.99</v>
      </c>
      <c r="N109" s="1" t="str">
        <f t="shared" si="71"/>
        <v>5:39.99 min/km</v>
      </c>
      <c r="O109" s="2" t="str">
        <f t="shared" si="72"/>
        <v>5:39.99 min/km</v>
      </c>
      <c r="P109" s="1" t="str">
        <f t="shared" si="56"/>
        <v>April</v>
      </c>
      <c r="Q109" s="47">
        <f>IF(COUNTA(C109)=1,(Table1[[#This Row],[min]]+(Table1[[#This Row],[sec]]/60))/1440, "")</f>
        <v>4.0972222222222226E-3</v>
      </c>
    </row>
    <row r="110" spans="1:17" x14ac:dyDescent="0.25">
      <c r="A110" s="1">
        <v>109</v>
      </c>
      <c r="B110" s="6">
        <v>46115</v>
      </c>
      <c r="C110" s="1">
        <v>532</v>
      </c>
      <c r="D110" s="1">
        <f t="shared" si="73"/>
        <v>32</v>
      </c>
      <c r="E110" s="1">
        <f t="shared" si="74"/>
        <v>5</v>
      </c>
      <c r="F110" s="1">
        <f>AVERAGE($E$2:E110)</f>
        <v>5.1467889908256881</v>
      </c>
      <c r="G110" s="1">
        <f t="shared" si="66"/>
        <v>0.14599999999999999</v>
      </c>
      <c r="H110" s="1">
        <f t="shared" si="67"/>
        <v>8.76</v>
      </c>
      <c r="I110" s="1">
        <f>AVERAGE($D$2:D110)</f>
        <v>31.119266055045873</v>
      </c>
      <c r="J110" s="1">
        <f t="shared" si="68"/>
        <v>39.879266055045875</v>
      </c>
      <c r="K110" s="4" cm="1">
        <f t="array" ref="K110">_xlfn.IFS(J110&gt;60, J110-60, J110&lt;60, J110, J110=60, 0)</f>
        <v>39.879266055045875</v>
      </c>
      <c r="L110" s="1">
        <f t="shared" si="69"/>
        <v>5</v>
      </c>
      <c r="M110" s="3">
        <f t="shared" si="70"/>
        <v>39.869999999999997</v>
      </c>
      <c r="N110" s="1" t="str">
        <f t="shared" si="71"/>
        <v>5:39.87 min/km</v>
      </c>
      <c r="O110" s="2" t="str">
        <f t="shared" si="72"/>
        <v>5:39.87 min/km</v>
      </c>
      <c r="P110" s="1" t="str">
        <f t="shared" si="56"/>
        <v>April</v>
      </c>
      <c r="Q110" s="47">
        <f>IF(COUNTA(C110)=1,(Table1[[#This Row],[min]]+(Table1[[#This Row],[sec]]/60))/1440, "")</f>
        <v>3.8425925925925923E-3</v>
      </c>
    </row>
    <row r="111" spans="1:17" x14ac:dyDescent="0.25">
      <c r="A111" s="1">
        <v>110</v>
      </c>
      <c r="B111" s="6">
        <v>46118</v>
      </c>
      <c r="C111" s="1">
        <v>512</v>
      </c>
      <c r="D111" s="1">
        <f t="shared" si="73"/>
        <v>12</v>
      </c>
      <c r="E111" s="1">
        <f t="shared" si="74"/>
        <v>5</v>
      </c>
      <c r="F111" s="1">
        <f>AVERAGE($E$2:E111)</f>
        <v>5.1454545454545455</v>
      </c>
      <c r="G111" s="1">
        <f t="shared" si="66"/>
        <v>0.14499999999999999</v>
      </c>
      <c r="H111" s="1">
        <f t="shared" si="67"/>
        <v>8.6999999999999993</v>
      </c>
      <c r="I111" s="1">
        <f>AVERAGE($D$2:D111)</f>
        <v>30.945454545454545</v>
      </c>
      <c r="J111" s="1">
        <f t="shared" si="68"/>
        <v>39.645454545454541</v>
      </c>
      <c r="K111" s="4" cm="1">
        <f t="array" ref="K111">_xlfn.IFS(J111&gt;60, J111-60, J111&lt;60, J111, J111=60, 0)</f>
        <v>39.645454545454541</v>
      </c>
      <c r="L111" s="1">
        <f t="shared" si="69"/>
        <v>5</v>
      </c>
      <c r="M111" s="3">
        <f t="shared" si="70"/>
        <v>39.64</v>
      </c>
      <c r="N111" s="1" t="str">
        <f t="shared" si="71"/>
        <v>5:39.64 min/km</v>
      </c>
      <c r="O111" s="2" t="str">
        <f t="shared" si="72"/>
        <v>5:39.64 min/km</v>
      </c>
      <c r="P111" s="1" t="str">
        <f t="shared" si="56"/>
        <v>April</v>
      </c>
      <c r="Q111" s="47">
        <f>IF(COUNTA(C111)=1,(Table1[[#This Row],[min]]+(Table1[[#This Row],[sec]]/60))/1440, "")</f>
        <v>3.6111111111111114E-3</v>
      </c>
    </row>
    <row r="112" spans="1:17" x14ac:dyDescent="0.25">
      <c r="A112" s="1">
        <v>111</v>
      </c>
      <c r="B112" s="6">
        <v>46119</v>
      </c>
      <c r="C112" s="1">
        <v>510</v>
      </c>
      <c r="D112" s="1">
        <f t="shared" si="73"/>
        <v>10</v>
      </c>
      <c r="E112" s="1">
        <f t="shared" si="74"/>
        <v>5</v>
      </c>
      <c r="F112" s="1">
        <f>AVERAGE($E$2:E112)</f>
        <v>5.1441441441441444</v>
      </c>
      <c r="G112" s="1">
        <f t="shared" si="66"/>
        <v>0.14399999999999999</v>
      </c>
      <c r="H112" s="1">
        <f t="shared" si="67"/>
        <v>8.6399999999999988</v>
      </c>
      <c r="I112" s="1">
        <f>AVERAGE($D$2:D112)</f>
        <v>30.756756756756758</v>
      </c>
      <c r="J112" s="1">
        <f t="shared" si="68"/>
        <v>39.396756756756758</v>
      </c>
      <c r="K112" s="4" cm="1">
        <f t="array" ref="K112">_xlfn.IFS(J112&gt;60, J112-60, J112&lt;60, J112, J112=60, 0)</f>
        <v>39.396756756756758</v>
      </c>
      <c r="L112" s="1">
        <f t="shared" si="69"/>
        <v>5</v>
      </c>
      <c r="M112" s="3">
        <f t="shared" si="70"/>
        <v>39.39</v>
      </c>
      <c r="N112" s="1" t="str">
        <f t="shared" si="71"/>
        <v>5:39.39 min/km</v>
      </c>
      <c r="O112" s="2" t="str">
        <f t="shared" si="72"/>
        <v>5:39.39 min/km</v>
      </c>
      <c r="P112" s="1" t="str">
        <f t="shared" si="56"/>
        <v>April</v>
      </c>
      <c r="Q112" s="47">
        <f>IF(COUNTA(C112)=1,(Table1[[#This Row],[min]]+(Table1[[#This Row],[sec]]/60))/1440, "")</f>
        <v>3.5879629629629634E-3</v>
      </c>
    </row>
    <row r="113" spans="1:17" x14ac:dyDescent="0.25">
      <c r="A113" s="1">
        <v>112</v>
      </c>
      <c r="B113" s="6">
        <v>46120</v>
      </c>
      <c r="C113" s="1">
        <v>514</v>
      </c>
      <c r="D113" s="1">
        <f t="shared" si="73"/>
        <v>14</v>
      </c>
      <c r="E113" s="1">
        <f t="shared" si="74"/>
        <v>5</v>
      </c>
      <c r="F113" s="1">
        <f>AVERAGE($E$2:E113)</f>
        <v>5.1428571428571432</v>
      </c>
      <c r="G113" s="1">
        <f t="shared" si="66"/>
        <v>0.14199999999999999</v>
      </c>
      <c r="H113" s="1">
        <f t="shared" si="67"/>
        <v>8.52</v>
      </c>
      <c r="I113" s="1">
        <f>AVERAGE($D$2:D113)</f>
        <v>30.607142857142858</v>
      </c>
      <c r="J113" s="1">
        <f t="shared" si="68"/>
        <v>39.127142857142857</v>
      </c>
      <c r="K113" s="4" cm="1">
        <f t="array" ref="K113">_xlfn.IFS(J113&gt;60, J113-60, J113&lt;60, J113, J113=60, 0)</f>
        <v>39.127142857142857</v>
      </c>
      <c r="L113" s="1">
        <f t="shared" si="69"/>
        <v>5</v>
      </c>
      <c r="M113" s="3">
        <f t="shared" si="70"/>
        <v>39.119999999999997</v>
      </c>
      <c r="N113" s="1" t="str">
        <f t="shared" si="71"/>
        <v>5:39.12 min/km</v>
      </c>
      <c r="O113" s="2" t="str">
        <f t="shared" si="72"/>
        <v>5:39.12 min/km</v>
      </c>
      <c r="P113" s="1" t="str">
        <f t="shared" si="56"/>
        <v>April</v>
      </c>
      <c r="Q113" s="47">
        <f>IF(COUNTA(C113)=1,(Table1[[#This Row],[min]]+(Table1[[#This Row],[sec]]/60))/1440, "")</f>
        <v>3.6342592592592594E-3</v>
      </c>
    </row>
    <row r="114" spans="1:17" x14ac:dyDescent="0.25">
      <c r="A114" s="1">
        <v>113</v>
      </c>
      <c r="B114" s="6">
        <v>46121</v>
      </c>
      <c r="C114" s="1">
        <v>502</v>
      </c>
      <c r="D114" s="1">
        <f t="shared" si="73"/>
        <v>2</v>
      </c>
      <c r="E114" s="1">
        <f t="shared" si="74"/>
        <v>5</v>
      </c>
      <c r="F114" s="1">
        <f>AVERAGE($E$2:E114)</f>
        <v>5.1415929203539825</v>
      </c>
      <c r="G114" s="1">
        <f t="shared" si="66"/>
        <v>0.14099999999999999</v>
      </c>
      <c r="H114" s="1">
        <f t="shared" si="67"/>
        <v>8.4599999999999991</v>
      </c>
      <c r="I114" s="1">
        <f>AVERAGE($D$2:D114)</f>
        <v>30.353982300884955</v>
      </c>
      <c r="J114" s="1">
        <f t="shared" si="68"/>
        <v>38.813982300884952</v>
      </c>
      <c r="K114" s="4" cm="1">
        <f t="array" ref="K114">_xlfn.IFS(J114&gt;60, J114-60, J114&lt;60, J114, J114=60, 0)</f>
        <v>38.813982300884952</v>
      </c>
      <c r="L114" s="1">
        <f t="shared" si="69"/>
        <v>5</v>
      </c>
      <c r="M114" s="3">
        <f t="shared" si="70"/>
        <v>38.81</v>
      </c>
      <c r="N114" s="1" t="str">
        <f t="shared" si="71"/>
        <v>5:38.81 min/km</v>
      </c>
      <c r="O114" s="2" t="str">
        <f t="shared" si="72"/>
        <v>5:38.81 min/km</v>
      </c>
      <c r="P114" s="1" t="str">
        <f t="shared" si="56"/>
        <v>April</v>
      </c>
      <c r="Q114" s="47">
        <f>IF(COUNTA(C114)=1,(Table1[[#This Row],[min]]+(Table1[[#This Row],[sec]]/60))/1440, "")</f>
        <v>3.4953703703703705E-3</v>
      </c>
    </row>
    <row r="115" spans="1:17" x14ac:dyDescent="0.25">
      <c r="A115" s="1">
        <v>114</v>
      </c>
      <c r="B115" s="6">
        <v>46122</v>
      </c>
      <c r="C115" s="1">
        <v>457</v>
      </c>
      <c r="D115" s="1">
        <f t="shared" si="73"/>
        <v>57</v>
      </c>
      <c r="E115" s="1">
        <f t="shared" si="74"/>
        <v>4</v>
      </c>
      <c r="F115" s="1">
        <f>AVERAGE($E$2:E115)</f>
        <v>5.1315789473684212</v>
      </c>
      <c r="G115" s="1">
        <f t="shared" si="66"/>
        <v>0.13100000000000001</v>
      </c>
      <c r="H115" s="1">
        <f t="shared" si="67"/>
        <v>7.86</v>
      </c>
      <c r="I115" s="1">
        <f>AVERAGE($D$2:D115)</f>
        <v>30.587719298245613</v>
      </c>
      <c r="J115" s="1">
        <f t="shared" si="68"/>
        <v>38.447719298245616</v>
      </c>
      <c r="K115" s="4" cm="1">
        <f t="array" ref="K115">_xlfn.IFS(J115&gt;60, J115-60, J115&lt;60, J115, J115=60, 0)</f>
        <v>38.447719298245616</v>
      </c>
      <c r="L115" s="1">
        <f t="shared" si="69"/>
        <v>5</v>
      </c>
      <c r="M115" s="3">
        <f t="shared" si="70"/>
        <v>38.44</v>
      </c>
      <c r="N115" s="1" t="str">
        <f t="shared" si="71"/>
        <v>5:38.44 min/km</v>
      </c>
      <c r="O115" s="2" t="str">
        <f t="shared" si="72"/>
        <v>5:38.44 min/km</v>
      </c>
      <c r="P115" s="1" t="str">
        <f t="shared" si="56"/>
        <v>April</v>
      </c>
      <c r="Q115" s="47">
        <f>IF(COUNTA(C115)=1,(Table1[[#This Row],[min]]+(Table1[[#This Row],[sec]]/60))/1440, "")</f>
        <v>3.4375E-3</v>
      </c>
    </row>
    <row r="116" spans="1:17" x14ac:dyDescent="0.25">
      <c r="A116" s="1">
        <v>115</v>
      </c>
      <c r="B116" s="6">
        <v>46123</v>
      </c>
      <c r="C116" s="1">
        <v>521</v>
      </c>
      <c r="D116" s="1">
        <f t="shared" si="73"/>
        <v>21</v>
      </c>
      <c r="E116" s="1">
        <f t="shared" si="74"/>
        <v>5</v>
      </c>
      <c r="F116" s="1">
        <f>AVERAGE($E$2:E116)</f>
        <v>5.1304347826086953</v>
      </c>
      <c r="G116" s="1">
        <f t="shared" si="66"/>
        <v>0.13</v>
      </c>
      <c r="H116" s="1">
        <f t="shared" si="67"/>
        <v>7.8000000000000007</v>
      </c>
      <c r="I116" s="1">
        <f>AVERAGE($D$2:D116)</f>
        <v>30.504347826086956</v>
      </c>
      <c r="J116" s="1">
        <f t="shared" si="68"/>
        <v>38.304347826086953</v>
      </c>
      <c r="K116" s="4" cm="1">
        <f t="array" ref="K116">_xlfn.IFS(J116&gt;60, J116-60, J116&lt;60, J116, J116=60, 0)</f>
        <v>38.304347826086953</v>
      </c>
      <c r="L116" s="1">
        <f t="shared" si="69"/>
        <v>5</v>
      </c>
      <c r="M116" s="3">
        <f t="shared" si="70"/>
        <v>38.299999999999997</v>
      </c>
      <c r="N116" s="1" t="str">
        <f t="shared" si="71"/>
        <v>5:38.3 min/km</v>
      </c>
      <c r="O116" s="2" t="str">
        <f t="shared" si="72"/>
        <v>5:38.3 min/km</v>
      </c>
      <c r="P116" s="1" t="str">
        <f t="shared" si="56"/>
        <v>April</v>
      </c>
      <c r="Q116" s="47">
        <f>IF(COUNTA(C116)=1,(Table1[[#This Row],[min]]+(Table1[[#This Row],[sec]]/60))/1440, "")</f>
        <v>3.7152777777777774E-3</v>
      </c>
    </row>
    <row r="117" spans="1:17" x14ac:dyDescent="0.25">
      <c r="A117" s="1">
        <v>116</v>
      </c>
      <c r="B117" s="6">
        <v>46124</v>
      </c>
      <c r="C117" s="1">
        <v>510</v>
      </c>
      <c r="D117" s="1">
        <f t="shared" si="73"/>
        <v>10</v>
      </c>
      <c r="E117" s="1">
        <f t="shared" si="74"/>
        <v>5</v>
      </c>
      <c r="F117" s="1">
        <f>AVERAGE($E$2:E117)</f>
        <v>5.1293103448275863</v>
      </c>
      <c r="G117" s="1">
        <f t="shared" si="66"/>
        <v>0.129</v>
      </c>
      <c r="H117" s="1">
        <f t="shared" si="67"/>
        <v>7.74</v>
      </c>
      <c r="I117" s="1">
        <f>AVERAGE($D$2:D117)</f>
        <v>30.327586206896552</v>
      </c>
      <c r="J117" s="1">
        <f t="shared" si="68"/>
        <v>38.06758620689655</v>
      </c>
      <c r="K117" s="4" cm="1">
        <f t="array" ref="K117">_xlfn.IFS(J117&gt;60, J117-60, J117&lt;60, J117, J117=60, 0)</f>
        <v>38.06758620689655</v>
      </c>
      <c r="L117" s="1">
        <f t="shared" si="69"/>
        <v>5</v>
      </c>
      <c r="M117" s="3">
        <f t="shared" si="70"/>
        <v>38.06</v>
      </c>
      <c r="N117" s="1" t="str">
        <f t="shared" si="71"/>
        <v>5:38.06 min/km</v>
      </c>
      <c r="O117" s="2" t="str">
        <f t="shared" si="72"/>
        <v>5:38.06 min/km</v>
      </c>
      <c r="P117" s="1" t="str">
        <f t="shared" si="56"/>
        <v>April</v>
      </c>
      <c r="Q117" s="47">
        <f>IF(COUNTA(C117)=1,(Table1[[#This Row],[min]]+(Table1[[#This Row],[sec]]/60))/1440, "")</f>
        <v>3.5879629629629634E-3</v>
      </c>
    </row>
    <row r="118" spans="1:17" x14ac:dyDescent="0.25">
      <c r="A118" s="1">
        <v>117</v>
      </c>
      <c r="B118" s="6">
        <v>46127</v>
      </c>
      <c r="C118" s="1">
        <v>456</v>
      </c>
      <c r="D118" s="1">
        <f t="shared" si="73"/>
        <v>56</v>
      </c>
      <c r="E118" s="1">
        <f t="shared" si="74"/>
        <v>4</v>
      </c>
      <c r="F118" s="1">
        <f>AVERAGE($E$2:E118)</f>
        <v>5.1196581196581192</v>
      </c>
      <c r="G118" s="1">
        <f t="shared" si="66"/>
        <v>0.11899999999999999</v>
      </c>
      <c r="H118" s="1">
        <f t="shared" si="67"/>
        <v>7.14</v>
      </c>
      <c r="I118" s="1">
        <f>AVERAGE($D$2:D118)</f>
        <v>30.547008547008549</v>
      </c>
      <c r="J118" s="1">
        <f t="shared" si="68"/>
        <v>37.687008547008546</v>
      </c>
      <c r="K118" s="4" cm="1">
        <f t="array" ref="K118">_xlfn.IFS(J118&gt;60, J118-60, J118&lt;60, J118, J118=60, 0)</f>
        <v>37.687008547008546</v>
      </c>
      <c r="L118" s="1">
        <f t="shared" si="69"/>
        <v>5</v>
      </c>
      <c r="M118" s="3">
        <f t="shared" si="70"/>
        <v>37.68</v>
      </c>
      <c r="N118" s="1" t="str">
        <f t="shared" si="71"/>
        <v>5:37.68 min/km</v>
      </c>
      <c r="O118" s="2" t="str">
        <f t="shared" si="72"/>
        <v>5:37.68 min/km</v>
      </c>
      <c r="P118" s="1" t="str">
        <f t="shared" si="56"/>
        <v>April</v>
      </c>
      <c r="Q118" s="47">
        <f>IF(COUNTA(C118)=1,(Table1[[#This Row],[min]]+(Table1[[#This Row],[sec]]/60))/1440, "")</f>
        <v>3.425925925925926E-3</v>
      </c>
    </row>
    <row r="119" spans="1:17" x14ac:dyDescent="0.25">
      <c r="A119" s="1">
        <v>118</v>
      </c>
      <c r="B119" s="6"/>
      <c r="D119" s="1" t="e">
        <f t="shared" si="73"/>
        <v>#VALUE!</v>
      </c>
      <c r="E119" s="1" t="e">
        <f t="shared" si="74"/>
        <v>#VALUE!</v>
      </c>
      <c r="F119" s="1" t="e">
        <f>AVERAGE($E$2:E119)</f>
        <v>#VALUE!</v>
      </c>
      <c r="G119" s="1" t="e">
        <f t="shared" si="66"/>
        <v>#VALUE!</v>
      </c>
      <c r="H119" s="1" t="e">
        <f t="shared" si="67"/>
        <v>#VALUE!</v>
      </c>
      <c r="I119" s="1" t="e">
        <f>AVERAGE($D$2:D119)</f>
        <v>#VALUE!</v>
      </c>
      <c r="J119" s="1" t="e">
        <f t="shared" si="68"/>
        <v>#VALUE!</v>
      </c>
      <c r="K119" s="4" t="e" cm="1">
        <f t="array" ref="K119">_xlfn.IFS(J119&gt;60, J119-60, J119&lt;60, J119, J119=60, 0)</f>
        <v>#VALUE!</v>
      </c>
      <c r="L119" s="1" t="e">
        <f t="shared" si="69"/>
        <v>#VALUE!</v>
      </c>
      <c r="M119" s="3" t="e">
        <f t="shared" si="70"/>
        <v>#VALUE!</v>
      </c>
      <c r="N119" s="1" t="e">
        <f t="shared" si="71"/>
        <v>#VALUE!</v>
      </c>
      <c r="O119" s="2" t="str">
        <f t="shared" si="72"/>
        <v/>
      </c>
      <c r="P119" s="1" t="str">
        <f t="shared" si="56"/>
        <v/>
      </c>
      <c r="Q119" s="47" t="str">
        <f>IF(COUNTA(C119)=1,(Table1[[#This Row],[min]]+(Table1[[#This Row],[sec]]/60))/1440, "")</f>
        <v/>
      </c>
    </row>
    <row r="120" spans="1:17" x14ac:dyDescent="0.25">
      <c r="A120" s="1">
        <v>119</v>
      </c>
      <c r="B120" s="6"/>
      <c r="D120" s="1" t="e">
        <f t="shared" si="73"/>
        <v>#VALUE!</v>
      </c>
      <c r="E120" s="1" t="e">
        <f t="shared" si="74"/>
        <v>#VALUE!</v>
      </c>
      <c r="F120" s="1" t="e">
        <f>AVERAGE($E$2:E120)</f>
        <v>#VALUE!</v>
      </c>
      <c r="G120" s="1" t="e">
        <f t="shared" si="66"/>
        <v>#VALUE!</v>
      </c>
      <c r="H120" s="1" t="e">
        <f t="shared" si="67"/>
        <v>#VALUE!</v>
      </c>
      <c r="I120" s="1" t="e">
        <f>AVERAGE($D$2:D120)</f>
        <v>#VALUE!</v>
      </c>
      <c r="J120" s="1" t="e">
        <f t="shared" si="68"/>
        <v>#VALUE!</v>
      </c>
      <c r="K120" s="4" t="e" cm="1">
        <f t="array" ref="K120">_xlfn.IFS(J120&gt;60, J120-60, J120&lt;60, J120, J120=60, 0)</f>
        <v>#VALUE!</v>
      </c>
      <c r="L120" s="1" t="e">
        <f t="shared" si="69"/>
        <v>#VALUE!</v>
      </c>
      <c r="M120" s="3" t="e">
        <f t="shared" si="70"/>
        <v>#VALUE!</v>
      </c>
      <c r="N120" s="1" t="e">
        <f t="shared" si="71"/>
        <v>#VALUE!</v>
      </c>
      <c r="O120" s="2" t="str">
        <f t="shared" si="72"/>
        <v/>
      </c>
      <c r="P120" s="1" t="str">
        <f t="shared" si="56"/>
        <v/>
      </c>
      <c r="Q120" s="47" t="str">
        <f>IF(COUNTA(C120)=1,(Table1[[#This Row],[min]]+(Table1[[#This Row],[sec]]/60))/1440, "")</f>
        <v/>
      </c>
    </row>
    <row r="121" spans="1:17" x14ac:dyDescent="0.25">
      <c r="A121" s="1">
        <v>120</v>
      </c>
      <c r="B121" s="6"/>
      <c r="D121" s="1" t="e">
        <f t="shared" si="73"/>
        <v>#VALUE!</v>
      </c>
      <c r="E121" s="1" t="e">
        <f t="shared" si="74"/>
        <v>#VALUE!</v>
      </c>
      <c r="F121" s="1" t="e">
        <f>AVERAGE($E$2:E121)</f>
        <v>#VALUE!</v>
      </c>
      <c r="G121" s="1" t="e">
        <f t="shared" si="66"/>
        <v>#VALUE!</v>
      </c>
      <c r="H121" s="1" t="e">
        <f t="shared" si="67"/>
        <v>#VALUE!</v>
      </c>
      <c r="I121" s="1" t="e">
        <f>AVERAGE($D$2:D121)</f>
        <v>#VALUE!</v>
      </c>
      <c r="J121" s="1" t="e">
        <f t="shared" si="68"/>
        <v>#VALUE!</v>
      </c>
      <c r="K121" s="4" t="e" cm="1">
        <f t="array" ref="K121">_xlfn.IFS(J121&gt;60, J121-60, J121&lt;60, J121, J121=60, 0)</f>
        <v>#VALUE!</v>
      </c>
      <c r="L121" s="1" t="e">
        <f t="shared" si="69"/>
        <v>#VALUE!</v>
      </c>
      <c r="M121" s="3" t="e">
        <f t="shared" si="70"/>
        <v>#VALUE!</v>
      </c>
      <c r="N121" s="1" t="e">
        <f t="shared" si="71"/>
        <v>#VALUE!</v>
      </c>
      <c r="O121" s="2" t="str">
        <f t="shared" si="72"/>
        <v/>
      </c>
      <c r="P121" s="1" t="str">
        <f t="shared" si="56"/>
        <v/>
      </c>
      <c r="Q121" s="47" t="str">
        <f>IF(COUNTA(C121)=1,(Table1[[#This Row],[min]]+(Table1[[#This Row],[sec]]/60))/1440, "")</f>
        <v/>
      </c>
    </row>
    <row r="122" spans="1:17" x14ac:dyDescent="0.25">
      <c r="A122" s="1">
        <v>121</v>
      </c>
      <c r="B122" s="6"/>
      <c r="D122" s="1" t="e">
        <f t="shared" si="73"/>
        <v>#VALUE!</v>
      </c>
      <c r="E122" s="1" t="e">
        <f t="shared" si="74"/>
        <v>#VALUE!</v>
      </c>
      <c r="F122" s="1" t="e">
        <f>AVERAGE($E$2:E122)</f>
        <v>#VALUE!</v>
      </c>
      <c r="G122" s="1" t="e">
        <f t="shared" si="66"/>
        <v>#VALUE!</v>
      </c>
      <c r="H122" s="1" t="e">
        <f t="shared" si="67"/>
        <v>#VALUE!</v>
      </c>
      <c r="I122" s="1" t="e">
        <f>AVERAGE($D$2:D122)</f>
        <v>#VALUE!</v>
      </c>
      <c r="J122" s="1" t="e">
        <f t="shared" si="68"/>
        <v>#VALUE!</v>
      </c>
      <c r="K122" s="4" t="e" cm="1">
        <f t="array" ref="K122">_xlfn.IFS(J122&gt;60, J122-60, J122&lt;60, J122, J122=60, 0)</f>
        <v>#VALUE!</v>
      </c>
      <c r="L122" s="1" t="e">
        <f t="shared" si="69"/>
        <v>#VALUE!</v>
      </c>
      <c r="M122" s="3" t="e">
        <f t="shared" si="70"/>
        <v>#VALUE!</v>
      </c>
      <c r="N122" s="1" t="e">
        <f t="shared" si="71"/>
        <v>#VALUE!</v>
      </c>
      <c r="O122" s="2" t="str">
        <f t="shared" si="72"/>
        <v/>
      </c>
      <c r="P122" s="1" t="str">
        <f t="shared" si="56"/>
        <v/>
      </c>
      <c r="Q122" s="47" t="str">
        <f>IF(COUNTA(C122)=1,(Table1[[#This Row],[min]]+(Table1[[#This Row],[sec]]/60))/1440, "")</f>
        <v/>
      </c>
    </row>
    <row r="123" spans="1:17" x14ac:dyDescent="0.25">
      <c r="A123" s="1">
        <v>122</v>
      </c>
      <c r="B123" s="6"/>
      <c r="D123" s="1" t="e">
        <f t="shared" si="73"/>
        <v>#VALUE!</v>
      </c>
      <c r="E123" s="1" t="e">
        <f t="shared" si="74"/>
        <v>#VALUE!</v>
      </c>
      <c r="F123" s="1" t="e">
        <f>AVERAGE($E$2:E123)</f>
        <v>#VALUE!</v>
      </c>
      <c r="G123" s="1" t="e">
        <f t="shared" si="66"/>
        <v>#VALUE!</v>
      </c>
      <c r="H123" s="1" t="e">
        <f t="shared" si="67"/>
        <v>#VALUE!</v>
      </c>
      <c r="I123" s="1" t="e">
        <f>AVERAGE($D$2:D123)</f>
        <v>#VALUE!</v>
      </c>
      <c r="J123" s="1" t="e">
        <f t="shared" si="68"/>
        <v>#VALUE!</v>
      </c>
      <c r="K123" s="4" t="e" cm="1">
        <f t="array" ref="K123">_xlfn.IFS(J123&gt;60, J123-60, J123&lt;60, J123, J123=60, 0)</f>
        <v>#VALUE!</v>
      </c>
      <c r="L123" s="1" t="e">
        <f t="shared" si="69"/>
        <v>#VALUE!</v>
      </c>
      <c r="M123" s="3" t="e">
        <f t="shared" si="70"/>
        <v>#VALUE!</v>
      </c>
      <c r="N123" s="1" t="e">
        <f t="shared" si="71"/>
        <v>#VALUE!</v>
      </c>
      <c r="O123" s="2" t="str">
        <f t="shared" si="72"/>
        <v/>
      </c>
      <c r="P123" s="1" t="str">
        <f t="shared" si="56"/>
        <v/>
      </c>
      <c r="Q123" s="47" t="str">
        <f>IF(COUNTA(C123)=1,(Table1[[#This Row],[min]]+(Table1[[#This Row],[sec]]/60))/1440, "")</f>
        <v/>
      </c>
    </row>
    <row r="124" spans="1:17" x14ac:dyDescent="0.25">
      <c r="A124" s="1">
        <v>123</v>
      </c>
      <c r="B124" s="6"/>
      <c r="D124" s="1" t="e">
        <f t="shared" si="73"/>
        <v>#VALUE!</v>
      </c>
      <c r="E124" s="1" t="e">
        <f t="shared" si="74"/>
        <v>#VALUE!</v>
      </c>
      <c r="F124" s="1" t="e">
        <f>AVERAGE($E$2:E124)</f>
        <v>#VALUE!</v>
      </c>
      <c r="G124" s="1" t="e">
        <f t="shared" si="66"/>
        <v>#VALUE!</v>
      </c>
      <c r="H124" s="1" t="e">
        <f t="shared" si="67"/>
        <v>#VALUE!</v>
      </c>
      <c r="I124" s="1" t="e">
        <f>AVERAGE($D$2:D124)</f>
        <v>#VALUE!</v>
      </c>
      <c r="J124" s="1" t="e">
        <f t="shared" si="68"/>
        <v>#VALUE!</v>
      </c>
      <c r="K124" s="4" t="e" cm="1">
        <f t="array" ref="K124">_xlfn.IFS(J124&gt;60, J124-60, J124&lt;60, J124, J124=60, 0)</f>
        <v>#VALUE!</v>
      </c>
      <c r="L124" s="1" t="e">
        <f t="shared" si="69"/>
        <v>#VALUE!</v>
      </c>
      <c r="M124" s="3" t="e">
        <f t="shared" si="70"/>
        <v>#VALUE!</v>
      </c>
      <c r="N124" s="1" t="e">
        <f t="shared" si="71"/>
        <v>#VALUE!</v>
      </c>
      <c r="O124" s="2" t="str">
        <f t="shared" si="72"/>
        <v/>
      </c>
      <c r="P124" s="1" t="str">
        <f t="shared" si="56"/>
        <v/>
      </c>
      <c r="Q124" s="47" t="str">
        <f>IF(COUNTA(C124)=1,(Table1[[#This Row],[min]]+(Table1[[#This Row],[sec]]/60))/1440, "")</f>
        <v/>
      </c>
    </row>
    <row r="125" spans="1:17" x14ac:dyDescent="0.25">
      <c r="A125" s="1">
        <v>124</v>
      </c>
      <c r="B125" s="6"/>
      <c r="D125" s="1" t="e">
        <f t="shared" si="73"/>
        <v>#VALUE!</v>
      </c>
      <c r="E125" s="1" t="e">
        <f t="shared" si="74"/>
        <v>#VALUE!</v>
      </c>
      <c r="F125" s="1" t="e">
        <f>AVERAGE($E$2:E125)</f>
        <v>#VALUE!</v>
      </c>
      <c r="G125" s="1" t="e">
        <f t="shared" si="66"/>
        <v>#VALUE!</v>
      </c>
      <c r="H125" s="1" t="e">
        <f t="shared" si="67"/>
        <v>#VALUE!</v>
      </c>
      <c r="I125" s="1" t="e">
        <f>AVERAGE($D$2:D125)</f>
        <v>#VALUE!</v>
      </c>
      <c r="J125" s="1" t="e">
        <f t="shared" si="68"/>
        <v>#VALUE!</v>
      </c>
      <c r="K125" s="4" t="e" cm="1">
        <f t="array" ref="K125">_xlfn.IFS(J125&gt;60, J125-60, J125&lt;60, J125, J125=60, 0)</f>
        <v>#VALUE!</v>
      </c>
      <c r="L125" s="1" t="e">
        <f t="shared" si="69"/>
        <v>#VALUE!</v>
      </c>
      <c r="M125" s="3" t="e">
        <f t="shared" si="70"/>
        <v>#VALUE!</v>
      </c>
      <c r="N125" s="1" t="e">
        <f t="shared" si="71"/>
        <v>#VALUE!</v>
      </c>
      <c r="O125" s="2" t="str">
        <f t="shared" si="72"/>
        <v/>
      </c>
      <c r="P125" s="1" t="str">
        <f t="shared" si="56"/>
        <v/>
      </c>
      <c r="Q125" s="47" t="str">
        <f>IF(COUNTA(C125)=1,(Table1[[#This Row],[min]]+(Table1[[#This Row],[sec]]/60))/1440, "")</f>
        <v/>
      </c>
    </row>
    <row r="126" spans="1:17" x14ac:dyDescent="0.25">
      <c r="A126" s="1">
        <v>125</v>
      </c>
      <c r="B126" s="6"/>
      <c r="D126" s="1" t="e">
        <f t="shared" si="73"/>
        <v>#VALUE!</v>
      </c>
      <c r="E126" s="1" t="e">
        <f t="shared" si="74"/>
        <v>#VALUE!</v>
      </c>
      <c r="F126" s="1" t="e">
        <f>AVERAGE($E$2:E126)</f>
        <v>#VALUE!</v>
      </c>
      <c r="G126" s="1" t="e">
        <f t="shared" si="66"/>
        <v>#VALUE!</v>
      </c>
      <c r="H126" s="1" t="e">
        <f t="shared" si="67"/>
        <v>#VALUE!</v>
      </c>
      <c r="I126" s="1" t="e">
        <f>AVERAGE($D$2:D126)</f>
        <v>#VALUE!</v>
      </c>
      <c r="J126" s="1" t="e">
        <f t="shared" si="68"/>
        <v>#VALUE!</v>
      </c>
      <c r="K126" s="4" t="e" cm="1">
        <f t="array" ref="K126">_xlfn.IFS(J126&gt;60, J126-60, J126&lt;60, J126, J126=60, 0)</f>
        <v>#VALUE!</v>
      </c>
      <c r="L126" s="1" t="e">
        <f t="shared" si="69"/>
        <v>#VALUE!</v>
      </c>
      <c r="M126" s="3" t="e">
        <f t="shared" si="70"/>
        <v>#VALUE!</v>
      </c>
      <c r="N126" s="1" t="e">
        <f t="shared" si="71"/>
        <v>#VALUE!</v>
      </c>
      <c r="O126" s="2" t="str">
        <f t="shared" si="72"/>
        <v/>
      </c>
      <c r="P126" s="1" t="str">
        <f t="shared" si="56"/>
        <v/>
      </c>
      <c r="Q126" s="47" t="str">
        <f>IF(COUNTA(C126)=1,(Table1[[#This Row],[min]]+(Table1[[#This Row],[sec]]/60))/1440, "")</f>
        <v/>
      </c>
    </row>
    <row r="127" spans="1:17" x14ac:dyDescent="0.25">
      <c r="A127" s="1">
        <v>126</v>
      </c>
      <c r="B127" s="6"/>
      <c r="D127" s="1" t="e">
        <f t="shared" si="73"/>
        <v>#VALUE!</v>
      </c>
      <c r="E127" s="1" t="e">
        <f t="shared" si="74"/>
        <v>#VALUE!</v>
      </c>
      <c r="F127" s="1" t="e">
        <f>AVERAGE($E$2:E127)</f>
        <v>#VALUE!</v>
      </c>
      <c r="G127" s="1" t="e">
        <f t="shared" si="66"/>
        <v>#VALUE!</v>
      </c>
      <c r="H127" s="1" t="e">
        <f t="shared" si="67"/>
        <v>#VALUE!</v>
      </c>
      <c r="I127" s="1" t="e">
        <f>AVERAGE($D$2:D127)</f>
        <v>#VALUE!</v>
      </c>
      <c r="J127" s="1" t="e">
        <f t="shared" si="68"/>
        <v>#VALUE!</v>
      </c>
      <c r="K127" s="4" t="e" cm="1">
        <f t="array" ref="K127">_xlfn.IFS(J127&gt;60, J127-60, J127&lt;60, J127, J127=60, 0)</f>
        <v>#VALUE!</v>
      </c>
      <c r="L127" s="1" t="e">
        <f t="shared" si="69"/>
        <v>#VALUE!</v>
      </c>
      <c r="M127" s="3" t="e">
        <f t="shared" si="70"/>
        <v>#VALUE!</v>
      </c>
      <c r="N127" s="1" t="e">
        <f t="shared" si="71"/>
        <v>#VALUE!</v>
      </c>
      <c r="O127" s="2" t="str">
        <f t="shared" si="72"/>
        <v/>
      </c>
      <c r="P127" s="1" t="str">
        <f t="shared" si="56"/>
        <v/>
      </c>
      <c r="Q127" s="47" t="str">
        <f>IF(COUNTA(C127)=1,(Table1[[#This Row],[min]]+(Table1[[#This Row],[sec]]/60))/1440, "")</f>
        <v/>
      </c>
    </row>
    <row r="128" spans="1:17" x14ac:dyDescent="0.25">
      <c r="A128" s="1">
        <v>127</v>
      </c>
      <c r="B128" s="6"/>
      <c r="D128" s="1" t="e">
        <f t="shared" si="73"/>
        <v>#VALUE!</v>
      </c>
      <c r="E128" s="1" t="e">
        <f t="shared" si="74"/>
        <v>#VALUE!</v>
      </c>
      <c r="F128" s="1" t="e">
        <f>AVERAGE($E$2:E128)</f>
        <v>#VALUE!</v>
      </c>
      <c r="G128" s="1" t="e">
        <f t="shared" si="66"/>
        <v>#VALUE!</v>
      </c>
      <c r="H128" s="1" t="e">
        <f t="shared" si="67"/>
        <v>#VALUE!</v>
      </c>
      <c r="I128" s="1" t="e">
        <f>AVERAGE($D$2:D128)</f>
        <v>#VALUE!</v>
      </c>
      <c r="J128" s="1" t="e">
        <f t="shared" si="68"/>
        <v>#VALUE!</v>
      </c>
      <c r="K128" s="4" t="e" cm="1">
        <f t="array" ref="K128">_xlfn.IFS(J128&gt;60, J128-60, J128&lt;60, J128, J128=60, 0)</f>
        <v>#VALUE!</v>
      </c>
      <c r="L128" s="1" t="e">
        <f t="shared" si="69"/>
        <v>#VALUE!</v>
      </c>
      <c r="M128" s="3" t="e">
        <f t="shared" si="70"/>
        <v>#VALUE!</v>
      </c>
      <c r="N128" s="1" t="e">
        <f t="shared" si="71"/>
        <v>#VALUE!</v>
      </c>
      <c r="O128" s="2" t="str">
        <f t="shared" si="72"/>
        <v/>
      </c>
      <c r="P128" s="1" t="str">
        <f t="shared" si="56"/>
        <v/>
      </c>
      <c r="Q128" s="47" t="str">
        <f>IF(COUNTA(C128)=1,(Table1[[#This Row],[min]]+(Table1[[#This Row],[sec]]/60))/1440, "")</f>
        <v/>
      </c>
    </row>
    <row r="129" spans="1:17" x14ac:dyDescent="0.25">
      <c r="A129" s="1">
        <v>128</v>
      </c>
      <c r="B129" s="6"/>
      <c r="D129" s="1" t="e">
        <f t="shared" si="73"/>
        <v>#VALUE!</v>
      </c>
      <c r="E129" s="1" t="e">
        <f t="shared" si="74"/>
        <v>#VALUE!</v>
      </c>
      <c r="F129" s="1" t="e">
        <f>AVERAGE($E$2:E129)</f>
        <v>#VALUE!</v>
      </c>
      <c r="G129" s="1" t="e">
        <f t="shared" si="66"/>
        <v>#VALUE!</v>
      </c>
      <c r="H129" s="1" t="e">
        <f t="shared" si="67"/>
        <v>#VALUE!</v>
      </c>
      <c r="I129" s="1" t="e">
        <f>AVERAGE($D$2:D129)</f>
        <v>#VALUE!</v>
      </c>
      <c r="J129" s="1" t="e">
        <f t="shared" si="68"/>
        <v>#VALUE!</v>
      </c>
      <c r="K129" s="4" t="e" cm="1">
        <f t="array" ref="K129">_xlfn.IFS(J129&gt;60, J129-60, J129&lt;60, J129, J129=60, 0)</f>
        <v>#VALUE!</v>
      </c>
      <c r="L129" s="1" t="e">
        <f t="shared" si="69"/>
        <v>#VALUE!</v>
      </c>
      <c r="M129" s="3" t="e">
        <f t="shared" si="70"/>
        <v>#VALUE!</v>
      </c>
      <c r="N129" s="1" t="e">
        <f t="shared" si="71"/>
        <v>#VALUE!</v>
      </c>
      <c r="O129" s="2" t="str">
        <f t="shared" si="72"/>
        <v/>
      </c>
      <c r="P129" s="1" t="str">
        <f t="shared" si="56"/>
        <v/>
      </c>
      <c r="Q129" s="47" t="str">
        <f>IF(COUNTA(C129)=1,(Table1[[#This Row],[min]]+(Table1[[#This Row],[sec]]/60))/1440, "")</f>
        <v/>
      </c>
    </row>
    <row r="130" spans="1:17" x14ac:dyDescent="0.25">
      <c r="A130" s="1">
        <v>129</v>
      </c>
      <c r="B130" s="6"/>
      <c r="D130" s="1" t="e">
        <f t="shared" si="73"/>
        <v>#VALUE!</v>
      </c>
      <c r="E130" s="1" t="e">
        <f t="shared" si="74"/>
        <v>#VALUE!</v>
      </c>
      <c r="F130" s="1" t="e">
        <f>AVERAGE($E$2:E130)</f>
        <v>#VALUE!</v>
      </c>
      <c r="G130" s="1" t="e">
        <f t="shared" si="66"/>
        <v>#VALUE!</v>
      </c>
      <c r="H130" s="1" t="e">
        <f t="shared" si="67"/>
        <v>#VALUE!</v>
      </c>
      <c r="I130" s="1" t="e">
        <f>AVERAGE($D$2:D130)</f>
        <v>#VALUE!</v>
      </c>
      <c r="J130" s="1" t="e">
        <f t="shared" si="68"/>
        <v>#VALUE!</v>
      </c>
      <c r="K130" s="4" t="e" cm="1">
        <f t="array" ref="K130">_xlfn.IFS(J130&gt;60, J130-60, J130&lt;60, J130, J130=60, 0)</f>
        <v>#VALUE!</v>
      </c>
      <c r="L130" s="1" t="e">
        <f t="shared" si="69"/>
        <v>#VALUE!</v>
      </c>
      <c r="M130" s="3" t="e">
        <f t="shared" si="70"/>
        <v>#VALUE!</v>
      </c>
      <c r="N130" s="1" t="e">
        <f t="shared" si="71"/>
        <v>#VALUE!</v>
      </c>
      <c r="O130" s="2" t="str">
        <f t="shared" si="72"/>
        <v/>
      </c>
      <c r="P130" s="1" t="str">
        <f t="shared" si="56"/>
        <v/>
      </c>
      <c r="Q130" s="47" t="str">
        <f>IF(COUNTA(C130)=1,(Table1[[#This Row],[min]]+(Table1[[#This Row],[sec]]/60))/1440, "")</f>
        <v/>
      </c>
    </row>
    <row r="131" spans="1:17" x14ac:dyDescent="0.25">
      <c r="A131" s="1">
        <v>130</v>
      </c>
      <c r="B131" s="6"/>
      <c r="D131" s="1" t="e">
        <f t="shared" si="73"/>
        <v>#VALUE!</v>
      </c>
      <c r="E131" s="1" t="e">
        <f t="shared" si="74"/>
        <v>#VALUE!</v>
      </c>
      <c r="F131" s="1" t="e">
        <f>AVERAGE($E$2:E131)</f>
        <v>#VALUE!</v>
      </c>
      <c r="G131" s="1" t="e">
        <f t="shared" si="66"/>
        <v>#VALUE!</v>
      </c>
      <c r="H131" s="1" t="e">
        <f t="shared" si="67"/>
        <v>#VALUE!</v>
      </c>
      <c r="I131" s="1" t="e">
        <f>AVERAGE($D$2:D131)</f>
        <v>#VALUE!</v>
      </c>
      <c r="J131" s="1" t="e">
        <f t="shared" si="68"/>
        <v>#VALUE!</v>
      </c>
      <c r="K131" s="4" t="e" cm="1">
        <f t="array" ref="K131">_xlfn.IFS(J131&gt;60, J131-60, J131&lt;60, J131, J131=60, 0)</f>
        <v>#VALUE!</v>
      </c>
      <c r="L131" s="1" t="e">
        <f t="shared" si="69"/>
        <v>#VALUE!</v>
      </c>
      <c r="M131" s="3" t="e">
        <f t="shared" si="70"/>
        <v>#VALUE!</v>
      </c>
      <c r="N131" s="1" t="e">
        <f t="shared" si="71"/>
        <v>#VALUE!</v>
      </c>
      <c r="O131" s="2" t="str">
        <f t="shared" si="72"/>
        <v/>
      </c>
      <c r="P131" s="1" t="str">
        <f t="shared" si="56"/>
        <v/>
      </c>
      <c r="Q131" s="47" t="str">
        <f>IF(COUNTA(C131)=1,(Table1[[#This Row],[min]]+(Table1[[#This Row],[sec]]/60))/1440, "")</f>
        <v/>
      </c>
    </row>
    <row r="132" spans="1:17" x14ac:dyDescent="0.25">
      <c r="A132" s="1">
        <v>131</v>
      </c>
      <c r="B132" s="6"/>
      <c r="D132" s="1" t="e">
        <f t="shared" si="73"/>
        <v>#VALUE!</v>
      </c>
      <c r="E132" s="1" t="e">
        <f t="shared" si="74"/>
        <v>#VALUE!</v>
      </c>
      <c r="F132" s="1" t="e">
        <f>AVERAGE($E$2:E132)</f>
        <v>#VALUE!</v>
      </c>
      <c r="G132" s="1" t="e">
        <f t="shared" si="66"/>
        <v>#VALUE!</v>
      </c>
      <c r="H132" s="1" t="e">
        <f t="shared" si="67"/>
        <v>#VALUE!</v>
      </c>
      <c r="I132" s="1" t="e">
        <f>AVERAGE($D$2:D132)</f>
        <v>#VALUE!</v>
      </c>
      <c r="J132" s="1" t="e">
        <f t="shared" si="68"/>
        <v>#VALUE!</v>
      </c>
      <c r="K132" s="4" t="e" cm="1">
        <f t="array" ref="K132">_xlfn.IFS(J132&gt;60, J132-60, J132&lt;60, J132, J132=60, 0)</f>
        <v>#VALUE!</v>
      </c>
      <c r="L132" s="1" t="e">
        <f t="shared" si="69"/>
        <v>#VALUE!</v>
      </c>
      <c r="M132" s="3" t="e">
        <f t="shared" si="70"/>
        <v>#VALUE!</v>
      </c>
      <c r="N132" s="1" t="e">
        <f t="shared" si="71"/>
        <v>#VALUE!</v>
      </c>
      <c r="O132" s="2" t="str">
        <f t="shared" si="72"/>
        <v/>
      </c>
      <c r="P132" s="1" t="str">
        <f t="shared" si="56"/>
        <v/>
      </c>
      <c r="Q132" s="47" t="str">
        <f>IF(COUNTA(C132)=1,(Table1[[#This Row],[min]]+(Table1[[#This Row],[sec]]/60))/1440, "")</f>
        <v/>
      </c>
    </row>
    <row r="133" spans="1:17" x14ac:dyDescent="0.25">
      <c r="A133" s="1">
        <v>132</v>
      </c>
      <c r="B133" s="6"/>
      <c r="D133" s="1" t="e">
        <f t="shared" si="73"/>
        <v>#VALUE!</v>
      </c>
      <c r="E133" s="1" t="e">
        <f t="shared" si="74"/>
        <v>#VALUE!</v>
      </c>
      <c r="F133" s="1" t="e">
        <f>AVERAGE($E$2:E133)</f>
        <v>#VALUE!</v>
      </c>
      <c r="G133" s="1" t="e">
        <f t="shared" si="66"/>
        <v>#VALUE!</v>
      </c>
      <c r="H133" s="1" t="e">
        <f t="shared" si="67"/>
        <v>#VALUE!</v>
      </c>
      <c r="I133" s="1" t="e">
        <f>AVERAGE($D$2:D133)</f>
        <v>#VALUE!</v>
      </c>
      <c r="J133" s="1" t="e">
        <f t="shared" si="68"/>
        <v>#VALUE!</v>
      </c>
      <c r="K133" s="4" t="e" cm="1">
        <f t="array" ref="K133">_xlfn.IFS(J133&gt;60, J133-60, J133&lt;60, J133, J133=60, 0)</f>
        <v>#VALUE!</v>
      </c>
      <c r="L133" s="1" t="e">
        <f t="shared" si="69"/>
        <v>#VALUE!</v>
      </c>
      <c r="M133" s="3" t="e">
        <f t="shared" si="70"/>
        <v>#VALUE!</v>
      </c>
      <c r="N133" s="1" t="e">
        <f t="shared" si="71"/>
        <v>#VALUE!</v>
      </c>
      <c r="O133" s="2" t="str">
        <f t="shared" si="72"/>
        <v/>
      </c>
      <c r="P133" s="1" t="str">
        <f t="shared" si="56"/>
        <v/>
      </c>
      <c r="Q133" s="47" t="str">
        <f>IF(COUNTA(C133)=1,(Table1[[#This Row],[min]]+(Table1[[#This Row],[sec]]/60))/1440, "")</f>
        <v/>
      </c>
    </row>
    <row r="134" spans="1:17" x14ac:dyDescent="0.25">
      <c r="A134" s="1">
        <v>133</v>
      </c>
      <c r="B134" s="6"/>
      <c r="D134" s="1" t="e">
        <f t="shared" si="73"/>
        <v>#VALUE!</v>
      </c>
      <c r="E134" s="1" t="e">
        <f t="shared" si="74"/>
        <v>#VALUE!</v>
      </c>
      <c r="F134" s="1" t="e">
        <f>AVERAGE($E$2:E134)</f>
        <v>#VALUE!</v>
      </c>
      <c r="G134" s="1" t="e">
        <f t="shared" si="66"/>
        <v>#VALUE!</v>
      </c>
      <c r="H134" s="1" t="e">
        <f t="shared" si="67"/>
        <v>#VALUE!</v>
      </c>
      <c r="I134" s="1" t="e">
        <f>AVERAGE($D$2:D134)</f>
        <v>#VALUE!</v>
      </c>
      <c r="J134" s="1" t="e">
        <f t="shared" si="68"/>
        <v>#VALUE!</v>
      </c>
      <c r="K134" s="4" t="e" cm="1">
        <f t="array" ref="K134">_xlfn.IFS(J134&gt;60, J134-60, J134&lt;60, J134, J134=60, 0)</f>
        <v>#VALUE!</v>
      </c>
      <c r="L134" s="1" t="e">
        <f t="shared" si="69"/>
        <v>#VALUE!</v>
      </c>
      <c r="M134" s="3" t="e">
        <f t="shared" si="70"/>
        <v>#VALUE!</v>
      </c>
      <c r="N134" s="1" t="e">
        <f t="shared" si="71"/>
        <v>#VALUE!</v>
      </c>
      <c r="O134" s="2" t="str">
        <f t="shared" si="72"/>
        <v/>
      </c>
      <c r="P134" s="1" t="str">
        <f t="shared" si="56"/>
        <v/>
      </c>
      <c r="Q134" s="47" t="str">
        <f>IF(COUNTA(C134)=1,(Table1[[#This Row],[min]]+(Table1[[#This Row],[sec]]/60))/1440, "")</f>
        <v/>
      </c>
    </row>
    <row r="135" spans="1:17" x14ac:dyDescent="0.25">
      <c r="A135" s="1">
        <v>134</v>
      </c>
      <c r="B135" s="6"/>
      <c r="D135" s="1" t="e">
        <f t="shared" si="73"/>
        <v>#VALUE!</v>
      </c>
      <c r="E135" s="1" t="e">
        <f t="shared" si="74"/>
        <v>#VALUE!</v>
      </c>
      <c r="F135" s="1" t="e">
        <f>AVERAGE($E$2:E135)</f>
        <v>#VALUE!</v>
      </c>
      <c r="G135" s="1" t="e">
        <f t="shared" si="66"/>
        <v>#VALUE!</v>
      </c>
      <c r="H135" s="1" t="e">
        <f t="shared" si="67"/>
        <v>#VALUE!</v>
      </c>
      <c r="I135" s="1" t="e">
        <f>AVERAGE($D$2:D135)</f>
        <v>#VALUE!</v>
      </c>
      <c r="J135" s="1" t="e">
        <f t="shared" si="68"/>
        <v>#VALUE!</v>
      </c>
      <c r="K135" s="4" t="e" cm="1">
        <f t="array" ref="K135">_xlfn.IFS(J135&gt;60, J135-60, J135&lt;60, J135, J135=60, 0)</f>
        <v>#VALUE!</v>
      </c>
      <c r="L135" s="1" t="e">
        <f t="shared" si="69"/>
        <v>#VALUE!</v>
      </c>
      <c r="M135" s="3" t="e">
        <f t="shared" si="70"/>
        <v>#VALUE!</v>
      </c>
      <c r="N135" s="1" t="e">
        <f t="shared" si="71"/>
        <v>#VALUE!</v>
      </c>
      <c r="O135" s="2" t="str">
        <f t="shared" si="72"/>
        <v/>
      </c>
      <c r="P135" s="1" t="str">
        <f t="shared" si="56"/>
        <v/>
      </c>
      <c r="Q135" s="47" t="str">
        <f>IF(COUNTA(C135)=1,(Table1[[#This Row],[min]]+(Table1[[#This Row],[sec]]/60))/1440, "")</f>
        <v/>
      </c>
    </row>
    <row r="136" spans="1:17" x14ac:dyDescent="0.25">
      <c r="A136" s="1">
        <v>135</v>
      </c>
      <c r="B136" s="6"/>
      <c r="D136" s="1" t="e">
        <f t="shared" si="73"/>
        <v>#VALUE!</v>
      </c>
      <c r="E136" s="1" t="e">
        <f t="shared" si="74"/>
        <v>#VALUE!</v>
      </c>
      <c r="F136" s="1" t="e">
        <f>AVERAGE($E$2:E136)</f>
        <v>#VALUE!</v>
      </c>
      <c r="G136" s="1" t="e">
        <f t="shared" si="66"/>
        <v>#VALUE!</v>
      </c>
      <c r="H136" s="1" t="e">
        <f t="shared" si="67"/>
        <v>#VALUE!</v>
      </c>
      <c r="I136" s="1" t="e">
        <f>AVERAGE($D$2:D136)</f>
        <v>#VALUE!</v>
      </c>
      <c r="J136" s="1" t="e">
        <f t="shared" si="68"/>
        <v>#VALUE!</v>
      </c>
      <c r="K136" s="4" t="e" cm="1">
        <f t="array" ref="K136">_xlfn.IFS(J136&gt;60, J136-60, J136&lt;60, J136, J136=60, 0)</f>
        <v>#VALUE!</v>
      </c>
      <c r="L136" s="1" t="e">
        <f t="shared" si="69"/>
        <v>#VALUE!</v>
      </c>
      <c r="M136" s="3" t="e">
        <f t="shared" si="70"/>
        <v>#VALUE!</v>
      </c>
      <c r="N136" s="1" t="e">
        <f t="shared" si="71"/>
        <v>#VALUE!</v>
      </c>
      <c r="O136" s="2" t="str">
        <f t="shared" si="72"/>
        <v/>
      </c>
      <c r="P136" s="1" t="str">
        <f t="shared" si="56"/>
        <v/>
      </c>
      <c r="Q136" s="47" t="str">
        <f>IF(COUNTA(C136)=1,(Table1[[#This Row],[min]]+(Table1[[#This Row],[sec]]/60))/1440, "")</f>
        <v/>
      </c>
    </row>
    <row r="137" spans="1:17" x14ac:dyDescent="0.25">
      <c r="A137" s="1">
        <v>136</v>
      </c>
      <c r="B137" s="6"/>
      <c r="D137" s="1" t="e">
        <f t="shared" si="73"/>
        <v>#VALUE!</v>
      </c>
      <c r="E137" s="1" t="e">
        <f t="shared" si="74"/>
        <v>#VALUE!</v>
      </c>
      <c r="F137" s="1" t="e">
        <f>AVERAGE($E$2:E137)</f>
        <v>#VALUE!</v>
      </c>
      <c r="G137" s="1" t="e">
        <f t="shared" si="66"/>
        <v>#VALUE!</v>
      </c>
      <c r="H137" s="1" t="e">
        <f t="shared" si="67"/>
        <v>#VALUE!</v>
      </c>
      <c r="I137" s="1" t="e">
        <f>AVERAGE($D$2:D137)</f>
        <v>#VALUE!</v>
      </c>
      <c r="J137" s="1" t="e">
        <f t="shared" si="68"/>
        <v>#VALUE!</v>
      </c>
      <c r="K137" s="4" t="e" cm="1">
        <f t="array" ref="K137">_xlfn.IFS(J137&gt;60, J137-60, J137&lt;60, J137, J137=60, 0)</f>
        <v>#VALUE!</v>
      </c>
      <c r="L137" s="1" t="e">
        <f t="shared" si="69"/>
        <v>#VALUE!</v>
      </c>
      <c r="M137" s="3" t="e">
        <f t="shared" si="70"/>
        <v>#VALUE!</v>
      </c>
      <c r="N137" s="1" t="e">
        <f t="shared" si="71"/>
        <v>#VALUE!</v>
      </c>
      <c r="O137" s="2" t="str">
        <f t="shared" si="72"/>
        <v/>
      </c>
      <c r="P137" s="1" t="str">
        <f t="shared" si="56"/>
        <v/>
      </c>
      <c r="Q137" s="47" t="str">
        <f>IF(COUNTA(C137)=1,(Table1[[#This Row],[min]]+(Table1[[#This Row],[sec]]/60))/1440, "")</f>
        <v/>
      </c>
    </row>
    <row r="138" spans="1:17" x14ac:dyDescent="0.25">
      <c r="A138" s="1">
        <v>137</v>
      </c>
      <c r="B138" s="6"/>
      <c r="D138" s="1" t="e">
        <f t="shared" si="73"/>
        <v>#VALUE!</v>
      </c>
      <c r="E138" s="1" t="e">
        <f t="shared" si="74"/>
        <v>#VALUE!</v>
      </c>
      <c r="F138" s="1" t="e">
        <f>AVERAGE($E$2:E138)</f>
        <v>#VALUE!</v>
      </c>
      <c r="G138" s="1" t="e">
        <f t="shared" si="66"/>
        <v>#VALUE!</v>
      </c>
      <c r="H138" s="1" t="e">
        <f t="shared" si="67"/>
        <v>#VALUE!</v>
      </c>
      <c r="I138" s="1" t="e">
        <f>AVERAGE($D$2:D138)</f>
        <v>#VALUE!</v>
      </c>
      <c r="J138" s="1" t="e">
        <f t="shared" si="68"/>
        <v>#VALUE!</v>
      </c>
      <c r="K138" s="4" t="e" cm="1">
        <f t="array" ref="K138">_xlfn.IFS(J138&gt;60, J138-60, J138&lt;60, J138, J138=60, 0)</f>
        <v>#VALUE!</v>
      </c>
      <c r="L138" s="1" t="e">
        <f t="shared" si="69"/>
        <v>#VALUE!</v>
      </c>
      <c r="M138" s="3" t="e">
        <f t="shared" si="70"/>
        <v>#VALUE!</v>
      </c>
      <c r="N138" s="1" t="e">
        <f t="shared" si="71"/>
        <v>#VALUE!</v>
      </c>
      <c r="O138" s="2" t="str">
        <f t="shared" si="72"/>
        <v/>
      </c>
      <c r="P138" s="1" t="str">
        <f t="shared" si="56"/>
        <v/>
      </c>
      <c r="Q138" s="47" t="str">
        <f>IF(COUNTA(C138)=1,(Table1[[#This Row],[min]]+(Table1[[#This Row],[sec]]/60))/1440, "")</f>
        <v/>
      </c>
    </row>
    <row r="139" spans="1:17" x14ac:dyDescent="0.25">
      <c r="A139" s="1">
        <v>138</v>
      </c>
      <c r="B139" s="6"/>
      <c r="D139" s="1" t="e">
        <f t="shared" si="73"/>
        <v>#VALUE!</v>
      </c>
      <c r="E139" s="1" t="e">
        <f t="shared" si="74"/>
        <v>#VALUE!</v>
      </c>
      <c r="F139" s="1" t="e">
        <f>AVERAGE($E$2:E139)</f>
        <v>#VALUE!</v>
      </c>
      <c r="G139" s="1" t="e">
        <f t="shared" si="66"/>
        <v>#VALUE!</v>
      </c>
      <c r="H139" s="1" t="e">
        <f t="shared" si="67"/>
        <v>#VALUE!</v>
      </c>
      <c r="I139" s="1" t="e">
        <f>AVERAGE($D$2:D139)</f>
        <v>#VALUE!</v>
      </c>
      <c r="J139" s="1" t="e">
        <f t="shared" si="68"/>
        <v>#VALUE!</v>
      </c>
      <c r="K139" s="4" t="e" cm="1">
        <f t="array" ref="K139">_xlfn.IFS(J139&gt;60, J139-60, J139&lt;60, J139, J139=60, 0)</f>
        <v>#VALUE!</v>
      </c>
      <c r="L139" s="1" t="e">
        <f t="shared" si="69"/>
        <v>#VALUE!</v>
      </c>
      <c r="M139" s="3" t="e">
        <f t="shared" si="70"/>
        <v>#VALUE!</v>
      </c>
      <c r="N139" s="1" t="e">
        <f t="shared" si="71"/>
        <v>#VALUE!</v>
      </c>
      <c r="O139" s="2" t="str">
        <f t="shared" si="72"/>
        <v/>
      </c>
      <c r="P139" s="1" t="str">
        <f t="shared" si="56"/>
        <v/>
      </c>
      <c r="Q139" s="47" t="str">
        <f>IF(COUNTA(C139)=1,(Table1[[#This Row],[min]]+(Table1[[#This Row],[sec]]/60))/1440, "")</f>
        <v/>
      </c>
    </row>
    <row r="140" spans="1:17" x14ac:dyDescent="0.25">
      <c r="A140" s="1">
        <v>139</v>
      </c>
      <c r="B140" s="6"/>
      <c r="D140" s="1" t="e">
        <f t="shared" si="73"/>
        <v>#VALUE!</v>
      </c>
      <c r="E140" s="1" t="e">
        <f t="shared" si="74"/>
        <v>#VALUE!</v>
      </c>
      <c r="F140" s="1" t="e">
        <f>AVERAGE($E$2:E140)</f>
        <v>#VALUE!</v>
      </c>
      <c r="G140" s="1" t="e">
        <f t="shared" si="66"/>
        <v>#VALUE!</v>
      </c>
      <c r="H140" s="1" t="e">
        <f t="shared" si="67"/>
        <v>#VALUE!</v>
      </c>
      <c r="I140" s="1" t="e">
        <f>AVERAGE($D$2:D140)</f>
        <v>#VALUE!</v>
      </c>
      <c r="J140" s="1" t="e">
        <f t="shared" si="68"/>
        <v>#VALUE!</v>
      </c>
      <c r="K140" s="4" t="e" cm="1">
        <f t="array" ref="K140">_xlfn.IFS(J140&gt;60, J140-60, J140&lt;60, J140, J140=60, 0)</f>
        <v>#VALUE!</v>
      </c>
      <c r="L140" s="1" t="e">
        <f t="shared" si="69"/>
        <v>#VALUE!</v>
      </c>
      <c r="M140" s="3" t="e">
        <f t="shared" si="70"/>
        <v>#VALUE!</v>
      </c>
      <c r="N140" s="1" t="e">
        <f t="shared" si="71"/>
        <v>#VALUE!</v>
      </c>
      <c r="O140" s="2" t="str">
        <f t="shared" si="72"/>
        <v/>
      </c>
      <c r="P140" s="1" t="str">
        <f t="shared" si="56"/>
        <v/>
      </c>
      <c r="Q140" s="47" t="str">
        <f>IF(COUNTA(C140)=1,(Table1[[#This Row],[min]]+(Table1[[#This Row],[sec]]/60))/1440, "")</f>
        <v/>
      </c>
    </row>
    <row r="141" spans="1:17" x14ac:dyDescent="0.25">
      <c r="A141" s="1">
        <v>140</v>
      </c>
      <c r="B141" s="6"/>
      <c r="D141" s="1" t="e">
        <f t="shared" si="73"/>
        <v>#VALUE!</v>
      </c>
      <c r="E141" s="1" t="e">
        <f t="shared" si="74"/>
        <v>#VALUE!</v>
      </c>
      <c r="F141" s="1" t="e">
        <f>AVERAGE($E$2:E141)</f>
        <v>#VALUE!</v>
      </c>
      <c r="G141" s="1" t="e">
        <f t="shared" si="66"/>
        <v>#VALUE!</v>
      </c>
      <c r="H141" s="1" t="e">
        <f t="shared" si="67"/>
        <v>#VALUE!</v>
      </c>
      <c r="I141" s="1" t="e">
        <f>AVERAGE($D$2:D141)</f>
        <v>#VALUE!</v>
      </c>
      <c r="J141" s="1" t="e">
        <f t="shared" si="68"/>
        <v>#VALUE!</v>
      </c>
      <c r="K141" s="4" t="e" cm="1">
        <f t="array" ref="K141">_xlfn.IFS(J141&gt;60, J141-60, J141&lt;60, J141, J141=60, 0)</f>
        <v>#VALUE!</v>
      </c>
      <c r="L141" s="1" t="e">
        <f t="shared" si="69"/>
        <v>#VALUE!</v>
      </c>
      <c r="M141" s="3" t="e">
        <f t="shared" si="70"/>
        <v>#VALUE!</v>
      </c>
      <c r="N141" s="1" t="e">
        <f t="shared" si="71"/>
        <v>#VALUE!</v>
      </c>
      <c r="O141" s="2" t="str">
        <f t="shared" si="72"/>
        <v/>
      </c>
      <c r="P141" s="1" t="str">
        <f t="shared" si="56"/>
        <v/>
      </c>
      <c r="Q141" s="47" t="str">
        <f>IF(COUNTA(C141)=1,(Table1[[#This Row],[min]]+(Table1[[#This Row],[sec]]/60))/1440, "")</f>
        <v/>
      </c>
    </row>
    <row r="142" spans="1:17" x14ac:dyDescent="0.25">
      <c r="A142" s="1">
        <v>141</v>
      </c>
      <c r="B142" s="6"/>
      <c r="D142" s="1" t="e">
        <f t="shared" si="73"/>
        <v>#VALUE!</v>
      </c>
      <c r="E142" s="1" t="e">
        <f t="shared" si="74"/>
        <v>#VALUE!</v>
      </c>
      <c r="F142" s="1" t="e">
        <f>AVERAGE($E$2:E142)</f>
        <v>#VALUE!</v>
      </c>
      <c r="G142" s="1" t="e">
        <f t="shared" si="66"/>
        <v>#VALUE!</v>
      </c>
      <c r="H142" s="1" t="e">
        <f t="shared" si="67"/>
        <v>#VALUE!</v>
      </c>
      <c r="I142" s="1" t="e">
        <f>AVERAGE($D$2:D142)</f>
        <v>#VALUE!</v>
      </c>
      <c r="J142" s="1" t="e">
        <f t="shared" si="68"/>
        <v>#VALUE!</v>
      </c>
      <c r="K142" s="4" t="e" cm="1">
        <f t="array" ref="K142">_xlfn.IFS(J142&gt;60, J142-60, J142&lt;60, J142, J142=60, 0)</f>
        <v>#VALUE!</v>
      </c>
      <c r="L142" s="1" t="e">
        <f t="shared" si="69"/>
        <v>#VALUE!</v>
      </c>
      <c r="M142" s="3" t="e">
        <f t="shared" si="70"/>
        <v>#VALUE!</v>
      </c>
      <c r="N142" s="1" t="e">
        <f t="shared" si="71"/>
        <v>#VALUE!</v>
      </c>
      <c r="O142" s="2" t="str">
        <f t="shared" si="72"/>
        <v/>
      </c>
      <c r="P142" s="1" t="str">
        <f t="shared" si="56"/>
        <v/>
      </c>
      <c r="Q142" s="47" t="str">
        <f>IF(COUNTA(C142)=1,(Table1[[#This Row],[min]]+(Table1[[#This Row],[sec]]/60))/1440, "")</f>
        <v/>
      </c>
    </row>
    <row r="143" spans="1:17" x14ac:dyDescent="0.25">
      <c r="A143" s="1">
        <v>142</v>
      </c>
      <c r="B143" s="6"/>
      <c r="D143" s="1" t="e">
        <f t="shared" si="73"/>
        <v>#VALUE!</v>
      </c>
      <c r="E143" s="1" t="e">
        <f t="shared" si="74"/>
        <v>#VALUE!</v>
      </c>
      <c r="F143" s="1" t="e">
        <f>AVERAGE($E$2:E143)</f>
        <v>#VALUE!</v>
      </c>
      <c r="G143" s="1" t="e">
        <f t="shared" si="66"/>
        <v>#VALUE!</v>
      </c>
      <c r="H143" s="1" t="e">
        <f t="shared" si="67"/>
        <v>#VALUE!</v>
      </c>
      <c r="I143" s="1" t="e">
        <f>AVERAGE($D$2:D143)</f>
        <v>#VALUE!</v>
      </c>
      <c r="J143" s="1" t="e">
        <f t="shared" si="68"/>
        <v>#VALUE!</v>
      </c>
      <c r="K143" s="4" t="e" cm="1">
        <f t="array" ref="K143">_xlfn.IFS(J143&gt;60, J143-60, J143&lt;60, J143, J143=60, 0)</f>
        <v>#VALUE!</v>
      </c>
      <c r="L143" s="1" t="e">
        <f t="shared" si="69"/>
        <v>#VALUE!</v>
      </c>
      <c r="M143" s="3" t="e">
        <f t="shared" si="70"/>
        <v>#VALUE!</v>
      </c>
      <c r="N143" s="1" t="e">
        <f t="shared" si="71"/>
        <v>#VALUE!</v>
      </c>
      <c r="O143" s="2" t="str">
        <f t="shared" si="72"/>
        <v/>
      </c>
      <c r="P143" s="1" t="str">
        <f t="shared" si="56"/>
        <v/>
      </c>
      <c r="Q143" s="47" t="str">
        <f>IF(COUNTA(C143)=1,(Table1[[#This Row],[min]]+(Table1[[#This Row],[sec]]/60))/1440, "")</f>
        <v/>
      </c>
    </row>
    <row r="144" spans="1:17" x14ac:dyDescent="0.25">
      <c r="A144" s="1">
        <v>143</v>
      </c>
      <c r="B144" s="6"/>
      <c r="D144" s="1" t="e">
        <f t="shared" si="73"/>
        <v>#VALUE!</v>
      </c>
      <c r="E144" s="1" t="e">
        <f t="shared" si="74"/>
        <v>#VALUE!</v>
      </c>
      <c r="F144" s="1" t="e">
        <f>AVERAGE($E$2:E144)</f>
        <v>#VALUE!</v>
      </c>
      <c r="G144" s="1" t="e">
        <f t="shared" si="66"/>
        <v>#VALUE!</v>
      </c>
      <c r="H144" s="1" t="e">
        <f t="shared" si="67"/>
        <v>#VALUE!</v>
      </c>
      <c r="I144" s="1" t="e">
        <f>AVERAGE($D$2:D144)</f>
        <v>#VALUE!</v>
      </c>
      <c r="J144" s="1" t="e">
        <f t="shared" si="68"/>
        <v>#VALUE!</v>
      </c>
      <c r="K144" s="4" t="e" cm="1">
        <f t="array" ref="K144">_xlfn.IFS(J144&gt;60, J144-60, J144&lt;60, J144, J144=60, 0)</f>
        <v>#VALUE!</v>
      </c>
      <c r="L144" s="1" t="e">
        <f t="shared" si="69"/>
        <v>#VALUE!</v>
      </c>
      <c r="M144" s="3" t="e">
        <f t="shared" si="70"/>
        <v>#VALUE!</v>
      </c>
      <c r="N144" s="1" t="e">
        <f t="shared" si="71"/>
        <v>#VALUE!</v>
      </c>
      <c r="O144" s="2" t="str">
        <f t="shared" si="72"/>
        <v/>
      </c>
      <c r="P144" s="1" t="str">
        <f t="shared" si="56"/>
        <v/>
      </c>
      <c r="Q144" s="47" t="str">
        <f>IF(COUNTA(C144)=1,(Table1[[#This Row],[min]]+(Table1[[#This Row],[sec]]/60))/1440, "")</f>
        <v/>
      </c>
    </row>
    <row r="145" spans="1:17" x14ac:dyDescent="0.25">
      <c r="A145" s="1">
        <v>144</v>
      </c>
      <c r="B145" s="6"/>
      <c r="D145" s="1" t="e">
        <f t="shared" si="73"/>
        <v>#VALUE!</v>
      </c>
      <c r="E145" s="1" t="e">
        <f t="shared" si="74"/>
        <v>#VALUE!</v>
      </c>
      <c r="F145" s="1" t="e">
        <f>AVERAGE($E$2:E145)</f>
        <v>#VALUE!</v>
      </c>
      <c r="G145" s="1" t="e">
        <f t="shared" si="66"/>
        <v>#VALUE!</v>
      </c>
      <c r="H145" s="1" t="e">
        <f t="shared" si="67"/>
        <v>#VALUE!</v>
      </c>
      <c r="I145" s="1" t="e">
        <f>AVERAGE($D$2:D145)</f>
        <v>#VALUE!</v>
      </c>
      <c r="J145" s="1" t="e">
        <f t="shared" si="68"/>
        <v>#VALUE!</v>
      </c>
      <c r="K145" s="4" t="e" cm="1">
        <f t="array" ref="K145">_xlfn.IFS(J145&gt;60, J145-60, J145&lt;60, J145, J145=60, 0)</f>
        <v>#VALUE!</v>
      </c>
      <c r="L145" s="1" t="e">
        <f t="shared" si="69"/>
        <v>#VALUE!</v>
      </c>
      <c r="M145" s="3" t="e">
        <f t="shared" si="70"/>
        <v>#VALUE!</v>
      </c>
      <c r="N145" s="1" t="e">
        <f t="shared" si="71"/>
        <v>#VALUE!</v>
      </c>
      <c r="O145" s="2" t="str">
        <f t="shared" si="72"/>
        <v/>
      </c>
      <c r="P145" s="1" t="str">
        <f t="shared" si="56"/>
        <v/>
      </c>
      <c r="Q145" s="47" t="str">
        <f>IF(COUNTA(C145)=1,(Table1[[#This Row],[min]]+(Table1[[#This Row],[sec]]/60))/1440, "")</f>
        <v/>
      </c>
    </row>
    <row r="146" spans="1:17" x14ac:dyDescent="0.25">
      <c r="A146" s="1">
        <v>145</v>
      </c>
      <c r="B146" s="6"/>
      <c r="D146" s="1" t="e">
        <f t="shared" si="73"/>
        <v>#VALUE!</v>
      </c>
      <c r="E146" s="1" t="e">
        <f t="shared" si="74"/>
        <v>#VALUE!</v>
      </c>
      <c r="F146" s="1" t="e">
        <f>AVERAGE($E$2:E146)</f>
        <v>#VALUE!</v>
      </c>
      <c r="G146" s="1" t="e">
        <f t="shared" si="66"/>
        <v>#VALUE!</v>
      </c>
      <c r="H146" s="1" t="e">
        <f t="shared" si="67"/>
        <v>#VALUE!</v>
      </c>
      <c r="I146" s="1" t="e">
        <f>AVERAGE($D$2:D146)</f>
        <v>#VALUE!</v>
      </c>
      <c r="J146" s="1" t="e">
        <f t="shared" si="68"/>
        <v>#VALUE!</v>
      </c>
      <c r="K146" s="4" t="e" cm="1">
        <f t="array" ref="K146">_xlfn.IFS(J146&gt;60, J146-60, J146&lt;60, J146, J146=60, 0)</f>
        <v>#VALUE!</v>
      </c>
      <c r="L146" s="1" t="e">
        <f t="shared" si="69"/>
        <v>#VALUE!</v>
      </c>
      <c r="M146" s="3" t="e">
        <f t="shared" si="70"/>
        <v>#VALUE!</v>
      </c>
      <c r="N146" s="1" t="e">
        <f t="shared" si="71"/>
        <v>#VALUE!</v>
      </c>
      <c r="O146" s="2" t="str">
        <f t="shared" si="72"/>
        <v/>
      </c>
      <c r="P146" s="1" t="str">
        <f t="shared" si="56"/>
        <v/>
      </c>
      <c r="Q146" s="47" t="str">
        <f>IF(COUNTA(C146)=1,(Table1[[#This Row],[min]]+(Table1[[#This Row],[sec]]/60))/1440, "")</f>
        <v/>
      </c>
    </row>
    <row r="147" spans="1:17" x14ac:dyDescent="0.25">
      <c r="A147" s="1">
        <v>146</v>
      </c>
      <c r="B147" s="6"/>
      <c r="D147" s="1" t="e">
        <f t="shared" si="73"/>
        <v>#VALUE!</v>
      </c>
      <c r="E147" s="1" t="e">
        <f t="shared" si="74"/>
        <v>#VALUE!</v>
      </c>
      <c r="F147" s="1" t="e">
        <f>AVERAGE($E$2:E147)</f>
        <v>#VALUE!</v>
      </c>
      <c r="G147" s="1" t="e">
        <f t="shared" si="66"/>
        <v>#VALUE!</v>
      </c>
      <c r="H147" s="1" t="e">
        <f t="shared" si="67"/>
        <v>#VALUE!</v>
      </c>
      <c r="I147" s="1" t="e">
        <f>AVERAGE($D$2:D147)</f>
        <v>#VALUE!</v>
      </c>
      <c r="J147" s="1" t="e">
        <f t="shared" si="68"/>
        <v>#VALUE!</v>
      </c>
      <c r="K147" s="4" t="e" cm="1">
        <f t="array" ref="K147">_xlfn.IFS(J147&gt;60, J147-60, J147&lt;60, J147, J147=60, 0)</f>
        <v>#VALUE!</v>
      </c>
      <c r="L147" s="1" t="e">
        <f t="shared" si="69"/>
        <v>#VALUE!</v>
      </c>
      <c r="M147" s="3" t="e">
        <f t="shared" si="70"/>
        <v>#VALUE!</v>
      </c>
      <c r="N147" s="1" t="e">
        <f t="shared" si="71"/>
        <v>#VALUE!</v>
      </c>
      <c r="O147" s="2" t="str">
        <f t="shared" si="72"/>
        <v/>
      </c>
      <c r="P147" s="1" t="str">
        <f t="shared" si="56"/>
        <v/>
      </c>
      <c r="Q147" s="47" t="str">
        <f>IF(COUNTA(C147)=1,(Table1[[#This Row],[min]]+(Table1[[#This Row],[sec]]/60))/1440, "")</f>
        <v/>
      </c>
    </row>
    <row r="148" spans="1:17" x14ac:dyDescent="0.25">
      <c r="A148" s="1">
        <v>147</v>
      </c>
      <c r="B148" s="6"/>
      <c r="D148" s="1" t="e">
        <f t="shared" si="73"/>
        <v>#VALUE!</v>
      </c>
      <c r="E148" s="1" t="e">
        <f t="shared" si="74"/>
        <v>#VALUE!</v>
      </c>
      <c r="F148" s="1" t="e">
        <f>AVERAGE($E$2:E148)</f>
        <v>#VALUE!</v>
      </c>
      <c r="G148" s="1" t="e">
        <f t="shared" si="66"/>
        <v>#VALUE!</v>
      </c>
      <c r="H148" s="1" t="e">
        <f t="shared" si="67"/>
        <v>#VALUE!</v>
      </c>
      <c r="I148" s="1" t="e">
        <f>AVERAGE($D$2:D148)</f>
        <v>#VALUE!</v>
      </c>
      <c r="J148" s="1" t="e">
        <f t="shared" si="68"/>
        <v>#VALUE!</v>
      </c>
      <c r="K148" s="4" t="e" cm="1">
        <f t="array" ref="K148">_xlfn.IFS(J148&gt;60, J148-60, J148&lt;60, J148, J148=60, 0)</f>
        <v>#VALUE!</v>
      </c>
      <c r="L148" s="1" t="e">
        <f t="shared" si="69"/>
        <v>#VALUE!</v>
      </c>
      <c r="M148" s="3" t="e">
        <f t="shared" si="70"/>
        <v>#VALUE!</v>
      </c>
      <c r="N148" s="1" t="e">
        <f t="shared" si="71"/>
        <v>#VALUE!</v>
      </c>
      <c r="O148" s="2" t="str">
        <f t="shared" si="72"/>
        <v/>
      </c>
      <c r="P148" s="1" t="str">
        <f t="shared" si="56"/>
        <v/>
      </c>
      <c r="Q148" s="47" t="str">
        <f>IF(COUNTA(C148)=1,(Table1[[#This Row],[min]]+(Table1[[#This Row],[sec]]/60))/1440, "")</f>
        <v/>
      </c>
    </row>
    <row r="149" spans="1:17" x14ac:dyDescent="0.25">
      <c r="A149" s="1">
        <v>148</v>
      </c>
      <c r="B149" s="6"/>
      <c r="D149" s="1" t="e">
        <f t="shared" si="73"/>
        <v>#VALUE!</v>
      </c>
      <c r="E149" s="1" t="e">
        <f t="shared" si="74"/>
        <v>#VALUE!</v>
      </c>
      <c r="F149" s="1" t="e">
        <f>AVERAGE($E$2:E149)</f>
        <v>#VALUE!</v>
      </c>
      <c r="G149" s="1" t="e">
        <f t="shared" si="66"/>
        <v>#VALUE!</v>
      </c>
      <c r="H149" s="1" t="e">
        <f t="shared" si="67"/>
        <v>#VALUE!</v>
      </c>
      <c r="I149" s="1" t="e">
        <f>AVERAGE($D$2:D149)</f>
        <v>#VALUE!</v>
      </c>
      <c r="J149" s="1" t="e">
        <f t="shared" si="68"/>
        <v>#VALUE!</v>
      </c>
      <c r="K149" s="4" t="e" cm="1">
        <f t="array" ref="K149">_xlfn.IFS(J149&gt;60, J149-60, J149&lt;60, J149, J149=60, 0)</f>
        <v>#VALUE!</v>
      </c>
      <c r="L149" s="1" t="e">
        <f t="shared" si="69"/>
        <v>#VALUE!</v>
      </c>
      <c r="M149" s="3" t="e">
        <f t="shared" si="70"/>
        <v>#VALUE!</v>
      </c>
      <c r="N149" s="1" t="e">
        <f t="shared" si="71"/>
        <v>#VALUE!</v>
      </c>
      <c r="O149" s="2" t="str">
        <f t="shared" si="72"/>
        <v/>
      </c>
      <c r="P149" s="1" t="str">
        <f t="shared" si="56"/>
        <v/>
      </c>
      <c r="Q149" s="47" t="str">
        <f>IF(COUNTA(C149)=1,(Table1[[#This Row],[min]]+(Table1[[#This Row],[sec]]/60))/1440, "")</f>
        <v/>
      </c>
    </row>
    <row r="150" spans="1:17" x14ac:dyDescent="0.25">
      <c r="A150" s="1">
        <v>149</v>
      </c>
      <c r="B150" s="6"/>
      <c r="D150" s="1" t="e">
        <f t="shared" si="73"/>
        <v>#VALUE!</v>
      </c>
      <c r="E150" s="1" t="e">
        <f t="shared" si="74"/>
        <v>#VALUE!</v>
      </c>
      <c r="F150" s="1" t="e">
        <f>AVERAGE($E$2:E150)</f>
        <v>#VALUE!</v>
      </c>
      <c r="G150" s="1" t="e">
        <f t="shared" si="66"/>
        <v>#VALUE!</v>
      </c>
      <c r="H150" s="1" t="e">
        <f t="shared" si="67"/>
        <v>#VALUE!</v>
      </c>
      <c r="I150" s="1" t="e">
        <f>AVERAGE($D$2:D150)</f>
        <v>#VALUE!</v>
      </c>
      <c r="J150" s="1" t="e">
        <f t="shared" si="68"/>
        <v>#VALUE!</v>
      </c>
      <c r="K150" s="4" t="e" cm="1">
        <f t="array" ref="K150">_xlfn.IFS(J150&gt;60, J150-60, J150&lt;60, J150, J150=60, 0)</f>
        <v>#VALUE!</v>
      </c>
      <c r="L150" s="1" t="e">
        <f t="shared" si="69"/>
        <v>#VALUE!</v>
      </c>
      <c r="M150" s="3" t="e">
        <f t="shared" si="70"/>
        <v>#VALUE!</v>
      </c>
      <c r="N150" s="1" t="e">
        <f t="shared" si="71"/>
        <v>#VALUE!</v>
      </c>
      <c r="O150" s="2" t="str">
        <f t="shared" si="72"/>
        <v/>
      </c>
      <c r="P150" s="1" t="str">
        <f t="shared" si="56"/>
        <v/>
      </c>
      <c r="Q150" s="47" t="str">
        <f>IF(COUNTA(C150)=1,(Table1[[#This Row],[min]]+(Table1[[#This Row],[sec]]/60))/1440, "")</f>
        <v/>
      </c>
    </row>
    <row r="151" spans="1:17" x14ac:dyDescent="0.25">
      <c r="A151" s="1">
        <v>150</v>
      </c>
      <c r="B151" s="6"/>
      <c r="D151" s="1" t="e">
        <f t="shared" si="73"/>
        <v>#VALUE!</v>
      </c>
      <c r="E151" s="1" t="e">
        <f t="shared" si="74"/>
        <v>#VALUE!</v>
      </c>
      <c r="F151" s="1" t="e">
        <f>AVERAGE($E$2:E151)</f>
        <v>#VALUE!</v>
      </c>
      <c r="G151" s="1" t="e">
        <f t="shared" si="66"/>
        <v>#VALUE!</v>
      </c>
      <c r="H151" s="1" t="e">
        <f t="shared" si="67"/>
        <v>#VALUE!</v>
      </c>
      <c r="I151" s="1" t="e">
        <f>AVERAGE($D$2:D151)</f>
        <v>#VALUE!</v>
      </c>
      <c r="J151" s="1" t="e">
        <f t="shared" si="68"/>
        <v>#VALUE!</v>
      </c>
      <c r="K151" s="4" t="e" cm="1">
        <f t="array" ref="K151">_xlfn.IFS(J151&gt;60, J151-60, J151&lt;60, J151, J151=60, 0)</f>
        <v>#VALUE!</v>
      </c>
      <c r="L151" s="1" t="e">
        <f t="shared" si="69"/>
        <v>#VALUE!</v>
      </c>
      <c r="M151" s="3" t="e">
        <f t="shared" si="70"/>
        <v>#VALUE!</v>
      </c>
      <c r="N151" s="1" t="e">
        <f t="shared" si="71"/>
        <v>#VALUE!</v>
      </c>
      <c r="O151" s="2" t="str">
        <f t="shared" si="72"/>
        <v/>
      </c>
      <c r="P151" s="1" t="str">
        <f t="shared" si="56"/>
        <v/>
      </c>
      <c r="Q151" s="47" t="str">
        <f>IF(COUNTA(C151)=1,(Table1[[#This Row],[min]]+(Table1[[#This Row],[sec]]/60))/1440, "")</f>
        <v/>
      </c>
    </row>
    <row r="152" spans="1:17" x14ac:dyDescent="0.25">
      <c r="A152" s="1">
        <v>151</v>
      </c>
      <c r="B152" s="6"/>
      <c r="D152" s="1" t="e">
        <f t="shared" si="73"/>
        <v>#VALUE!</v>
      </c>
      <c r="E152" s="1" t="e">
        <f t="shared" si="74"/>
        <v>#VALUE!</v>
      </c>
      <c r="F152" s="1" t="e">
        <f>AVERAGE($E$2:E152)</f>
        <v>#VALUE!</v>
      </c>
      <c r="G152" s="1" t="e">
        <f t="shared" si="66"/>
        <v>#VALUE!</v>
      </c>
      <c r="H152" s="1" t="e">
        <f t="shared" si="67"/>
        <v>#VALUE!</v>
      </c>
      <c r="I152" s="1" t="e">
        <f>AVERAGE($D$2:D152)</f>
        <v>#VALUE!</v>
      </c>
      <c r="J152" s="1" t="e">
        <f t="shared" si="68"/>
        <v>#VALUE!</v>
      </c>
      <c r="K152" s="4" t="e" cm="1">
        <f t="array" ref="K152">_xlfn.IFS(J152&gt;60, J152-60, J152&lt;60, J152, J152=60, 0)</f>
        <v>#VALUE!</v>
      </c>
      <c r="L152" s="1" t="e">
        <f t="shared" si="69"/>
        <v>#VALUE!</v>
      </c>
      <c r="M152" s="3" t="e">
        <f t="shared" si="70"/>
        <v>#VALUE!</v>
      </c>
      <c r="N152" s="1" t="e">
        <f t="shared" si="71"/>
        <v>#VALUE!</v>
      </c>
      <c r="O152" s="2" t="str">
        <f t="shared" si="72"/>
        <v/>
      </c>
      <c r="P152" s="1" t="str">
        <f t="shared" si="56"/>
        <v/>
      </c>
      <c r="Q152" s="47" t="str">
        <f>IF(COUNTA(C152)=1,(Table1[[#This Row],[min]]+(Table1[[#This Row],[sec]]/60))/1440, "")</f>
        <v/>
      </c>
    </row>
    <row r="153" spans="1:17" x14ac:dyDescent="0.25">
      <c r="A153" s="1">
        <v>152</v>
      </c>
      <c r="B153" s="6"/>
      <c r="D153" s="1" t="e">
        <f t="shared" si="73"/>
        <v>#VALUE!</v>
      </c>
      <c r="E153" s="1" t="e">
        <f t="shared" si="74"/>
        <v>#VALUE!</v>
      </c>
      <c r="F153" s="1" t="e">
        <f>AVERAGE($E$2:E153)</f>
        <v>#VALUE!</v>
      </c>
      <c r="G153" s="1" t="e">
        <f t="shared" si="66"/>
        <v>#VALUE!</v>
      </c>
      <c r="H153" s="1" t="e">
        <f t="shared" si="67"/>
        <v>#VALUE!</v>
      </c>
      <c r="I153" s="1" t="e">
        <f>AVERAGE($D$2:D153)</f>
        <v>#VALUE!</v>
      </c>
      <c r="J153" s="1" t="e">
        <f t="shared" si="68"/>
        <v>#VALUE!</v>
      </c>
      <c r="K153" s="4" t="e" cm="1">
        <f t="array" ref="K153">_xlfn.IFS(J153&gt;60, J153-60, J153&lt;60, J153, J153=60, 0)</f>
        <v>#VALUE!</v>
      </c>
      <c r="L153" s="1" t="e">
        <f t="shared" si="69"/>
        <v>#VALUE!</v>
      </c>
      <c r="M153" s="3" t="e">
        <f t="shared" si="70"/>
        <v>#VALUE!</v>
      </c>
      <c r="N153" s="1" t="e">
        <f t="shared" si="71"/>
        <v>#VALUE!</v>
      </c>
      <c r="O153" s="2" t="str">
        <f t="shared" si="72"/>
        <v/>
      </c>
      <c r="P153" s="1" t="str">
        <f t="shared" ref="P153:P216" si="75">IF(COUNTA(B153)=1,TEXT(B153, "mmmm"), "")</f>
        <v/>
      </c>
      <c r="Q153" s="47" t="str">
        <f>IF(COUNTA(C153)=1,(Table1[[#This Row],[min]]+(Table1[[#This Row],[sec]]/60))/1440, "")</f>
        <v/>
      </c>
    </row>
    <row r="154" spans="1:17" x14ac:dyDescent="0.25">
      <c r="A154" s="1">
        <v>153</v>
      </c>
      <c r="B154" s="6"/>
      <c r="D154" s="1" t="e">
        <f t="shared" si="73"/>
        <v>#VALUE!</v>
      </c>
      <c r="E154" s="1" t="e">
        <f t="shared" si="74"/>
        <v>#VALUE!</v>
      </c>
      <c r="F154" s="1" t="e">
        <f>AVERAGE($E$2:E154)</f>
        <v>#VALUE!</v>
      </c>
      <c r="G154" s="1" t="e">
        <f t="shared" si="66"/>
        <v>#VALUE!</v>
      </c>
      <c r="H154" s="1" t="e">
        <f t="shared" si="67"/>
        <v>#VALUE!</v>
      </c>
      <c r="I154" s="1" t="e">
        <f>AVERAGE($D$2:D154)</f>
        <v>#VALUE!</v>
      </c>
      <c r="J154" s="1" t="e">
        <f t="shared" si="68"/>
        <v>#VALUE!</v>
      </c>
      <c r="K154" s="4" t="e" cm="1">
        <f t="array" ref="K154">_xlfn.IFS(J154&gt;60, J154-60, J154&lt;60, J154, J154=60, 0)</f>
        <v>#VALUE!</v>
      </c>
      <c r="L154" s="1" t="e">
        <f t="shared" si="69"/>
        <v>#VALUE!</v>
      </c>
      <c r="M154" s="3" t="e">
        <f t="shared" si="70"/>
        <v>#VALUE!</v>
      </c>
      <c r="N154" s="1" t="e">
        <f t="shared" si="71"/>
        <v>#VALUE!</v>
      </c>
      <c r="O154" s="2" t="str">
        <f t="shared" si="72"/>
        <v/>
      </c>
      <c r="P154" s="1" t="str">
        <f t="shared" si="75"/>
        <v/>
      </c>
      <c r="Q154" s="47" t="str">
        <f>IF(COUNTA(C154)=1,(Table1[[#This Row],[min]]+(Table1[[#This Row],[sec]]/60))/1440, "")</f>
        <v/>
      </c>
    </row>
    <row r="155" spans="1:17" x14ac:dyDescent="0.25">
      <c r="A155" s="1">
        <v>154</v>
      </c>
      <c r="B155" s="6"/>
      <c r="D155" s="1" t="e">
        <f t="shared" si="73"/>
        <v>#VALUE!</v>
      </c>
      <c r="E155" s="1" t="e">
        <f t="shared" si="74"/>
        <v>#VALUE!</v>
      </c>
      <c r="F155" s="1" t="e">
        <f>AVERAGE($E$2:E155)</f>
        <v>#VALUE!</v>
      </c>
      <c r="G155" s="1" t="e">
        <f t="shared" si="66"/>
        <v>#VALUE!</v>
      </c>
      <c r="H155" s="1" t="e">
        <f t="shared" si="67"/>
        <v>#VALUE!</v>
      </c>
      <c r="I155" s="1" t="e">
        <f>AVERAGE($D$2:D155)</f>
        <v>#VALUE!</v>
      </c>
      <c r="J155" s="1" t="e">
        <f t="shared" si="68"/>
        <v>#VALUE!</v>
      </c>
      <c r="K155" s="4" t="e" cm="1">
        <f t="array" ref="K155">_xlfn.IFS(J155&gt;60, J155-60, J155&lt;60, J155, J155=60, 0)</f>
        <v>#VALUE!</v>
      </c>
      <c r="L155" s="1" t="e">
        <f t="shared" si="69"/>
        <v>#VALUE!</v>
      </c>
      <c r="M155" s="3" t="e">
        <f t="shared" si="70"/>
        <v>#VALUE!</v>
      </c>
      <c r="N155" s="1" t="e">
        <f t="shared" si="71"/>
        <v>#VALUE!</v>
      </c>
      <c r="O155" s="2" t="str">
        <f t="shared" si="72"/>
        <v/>
      </c>
      <c r="P155" s="1" t="str">
        <f t="shared" si="75"/>
        <v/>
      </c>
      <c r="Q155" s="47" t="str">
        <f>IF(COUNTA(C155)=1,(Table1[[#This Row],[min]]+(Table1[[#This Row],[sec]]/60))/1440, "")</f>
        <v/>
      </c>
    </row>
    <row r="156" spans="1:17" x14ac:dyDescent="0.25">
      <c r="A156" s="1">
        <v>155</v>
      </c>
      <c r="B156" s="6"/>
      <c r="D156" s="1" t="e">
        <f t="shared" si="73"/>
        <v>#VALUE!</v>
      </c>
      <c r="E156" s="1" t="e">
        <f t="shared" si="74"/>
        <v>#VALUE!</v>
      </c>
      <c r="F156" s="1" t="e">
        <f>AVERAGE($E$2:E156)</f>
        <v>#VALUE!</v>
      </c>
      <c r="G156" s="1" t="e">
        <f t="shared" si="66"/>
        <v>#VALUE!</v>
      </c>
      <c r="H156" s="1" t="e">
        <f t="shared" si="67"/>
        <v>#VALUE!</v>
      </c>
      <c r="I156" s="1" t="e">
        <f>AVERAGE($D$2:D156)</f>
        <v>#VALUE!</v>
      </c>
      <c r="J156" s="1" t="e">
        <f t="shared" si="68"/>
        <v>#VALUE!</v>
      </c>
      <c r="K156" s="4" t="e" cm="1">
        <f t="array" ref="K156">_xlfn.IFS(J156&gt;60, J156-60, J156&lt;60, J156, J156=60, 0)</f>
        <v>#VALUE!</v>
      </c>
      <c r="L156" s="1" t="e">
        <f t="shared" si="69"/>
        <v>#VALUE!</v>
      </c>
      <c r="M156" s="3" t="e">
        <f t="shared" si="70"/>
        <v>#VALUE!</v>
      </c>
      <c r="N156" s="1" t="e">
        <f t="shared" si="71"/>
        <v>#VALUE!</v>
      </c>
      <c r="O156" s="2" t="str">
        <f t="shared" si="72"/>
        <v/>
      </c>
      <c r="P156" s="1" t="str">
        <f t="shared" si="75"/>
        <v/>
      </c>
      <c r="Q156" s="47" t="str">
        <f>IF(COUNTA(C156)=1,(Table1[[#This Row],[min]]+(Table1[[#This Row],[sec]]/60))/1440, "")</f>
        <v/>
      </c>
    </row>
    <row r="157" spans="1:17" x14ac:dyDescent="0.25">
      <c r="A157" s="1">
        <v>156</v>
      </c>
      <c r="B157" s="6"/>
      <c r="D157" s="1" t="e">
        <f t="shared" si="73"/>
        <v>#VALUE!</v>
      </c>
      <c r="E157" s="1" t="e">
        <f t="shared" si="74"/>
        <v>#VALUE!</v>
      </c>
      <c r="F157" s="1" t="e">
        <f>AVERAGE($E$2:E157)</f>
        <v>#VALUE!</v>
      </c>
      <c r="G157" s="1" t="e">
        <f t="shared" si="66"/>
        <v>#VALUE!</v>
      </c>
      <c r="H157" s="1" t="e">
        <f t="shared" si="67"/>
        <v>#VALUE!</v>
      </c>
      <c r="I157" s="1" t="e">
        <f>AVERAGE($D$2:D157)</f>
        <v>#VALUE!</v>
      </c>
      <c r="J157" s="1" t="e">
        <f t="shared" si="68"/>
        <v>#VALUE!</v>
      </c>
      <c r="K157" s="4" t="e" cm="1">
        <f t="array" ref="K157">_xlfn.IFS(J157&gt;60, J157-60, J157&lt;60, J157, J157=60, 0)</f>
        <v>#VALUE!</v>
      </c>
      <c r="L157" s="1" t="e">
        <f t="shared" si="69"/>
        <v>#VALUE!</v>
      </c>
      <c r="M157" s="3" t="e">
        <f t="shared" si="70"/>
        <v>#VALUE!</v>
      </c>
      <c r="N157" s="1" t="e">
        <f t="shared" si="71"/>
        <v>#VALUE!</v>
      </c>
      <c r="O157" s="2" t="str">
        <f t="shared" si="72"/>
        <v/>
      </c>
      <c r="P157" s="1" t="str">
        <f t="shared" si="75"/>
        <v/>
      </c>
      <c r="Q157" s="47" t="str">
        <f>IF(COUNTA(C157)=1,(Table1[[#This Row],[min]]+(Table1[[#This Row],[sec]]/60))/1440, "")</f>
        <v/>
      </c>
    </row>
    <row r="158" spans="1:17" x14ac:dyDescent="0.25">
      <c r="A158" s="1">
        <v>157</v>
      </c>
      <c r="B158" s="6"/>
      <c r="D158" s="1" t="e">
        <f t="shared" si="73"/>
        <v>#VALUE!</v>
      </c>
      <c r="E158" s="1" t="e">
        <f t="shared" si="74"/>
        <v>#VALUE!</v>
      </c>
      <c r="F158" s="1" t="e">
        <f>AVERAGE($E$2:E158)</f>
        <v>#VALUE!</v>
      </c>
      <c r="G158" s="1" t="e">
        <f t="shared" si="66"/>
        <v>#VALUE!</v>
      </c>
      <c r="H158" s="1" t="e">
        <f t="shared" si="67"/>
        <v>#VALUE!</v>
      </c>
      <c r="I158" s="1" t="e">
        <f>AVERAGE($D$2:D158)</f>
        <v>#VALUE!</v>
      </c>
      <c r="J158" s="1" t="e">
        <f t="shared" si="68"/>
        <v>#VALUE!</v>
      </c>
      <c r="K158" s="4" t="e" cm="1">
        <f t="array" ref="K158">_xlfn.IFS(J158&gt;60, J158-60, J158&lt;60, J158, J158=60, 0)</f>
        <v>#VALUE!</v>
      </c>
      <c r="L158" s="1" t="e">
        <f t="shared" si="69"/>
        <v>#VALUE!</v>
      </c>
      <c r="M158" s="3" t="e">
        <f t="shared" si="70"/>
        <v>#VALUE!</v>
      </c>
      <c r="N158" s="1" t="e">
        <f t="shared" si="71"/>
        <v>#VALUE!</v>
      </c>
      <c r="O158" s="2" t="str">
        <f t="shared" si="72"/>
        <v/>
      </c>
      <c r="P158" s="1" t="str">
        <f t="shared" si="75"/>
        <v/>
      </c>
      <c r="Q158" s="47" t="str">
        <f>IF(COUNTA(C158)=1,(Table1[[#This Row],[min]]+(Table1[[#This Row],[sec]]/60))/1440, "")</f>
        <v/>
      </c>
    </row>
    <row r="159" spans="1:17" x14ac:dyDescent="0.25">
      <c r="A159" s="1">
        <v>158</v>
      </c>
      <c r="B159" s="6"/>
      <c r="D159" s="1" t="e">
        <f t="shared" si="73"/>
        <v>#VALUE!</v>
      </c>
      <c r="E159" s="1" t="e">
        <f t="shared" si="74"/>
        <v>#VALUE!</v>
      </c>
      <c r="F159" s="1" t="e">
        <f>AVERAGE($E$2:E159)</f>
        <v>#VALUE!</v>
      </c>
      <c r="G159" s="1" t="e">
        <f t="shared" si="66"/>
        <v>#VALUE!</v>
      </c>
      <c r="H159" s="1" t="e">
        <f t="shared" si="67"/>
        <v>#VALUE!</v>
      </c>
      <c r="I159" s="1" t="e">
        <f>AVERAGE($D$2:D159)</f>
        <v>#VALUE!</v>
      </c>
      <c r="J159" s="1" t="e">
        <f t="shared" si="68"/>
        <v>#VALUE!</v>
      </c>
      <c r="K159" s="4" t="e" cm="1">
        <f t="array" ref="K159">_xlfn.IFS(J159&gt;60, J159-60, J159&lt;60, J159, J159=60, 0)</f>
        <v>#VALUE!</v>
      </c>
      <c r="L159" s="1" t="e">
        <f t="shared" si="69"/>
        <v>#VALUE!</v>
      </c>
      <c r="M159" s="3" t="e">
        <f t="shared" si="70"/>
        <v>#VALUE!</v>
      </c>
      <c r="N159" s="1" t="e">
        <f t="shared" si="71"/>
        <v>#VALUE!</v>
      </c>
      <c r="O159" s="2" t="str">
        <f t="shared" si="72"/>
        <v/>
      </c>
      <c r="P159" s="1" t="str">
        <f t="shared" si="75"/>
        <v/>
      </c>
      <c r="Q159" s="47" t="str">
        <f>IF(COUNTA(C159)=1,(Table1[[#This Row],[min]]+(Table1[[#This Row],[sec]]/60))/1440, "")</f>
        <v/>
      </c>
    </row>
    <row r="160" spans="1:17" x14ac:dyDescent="0.25">
      <c r="A160" s="1">
        <v>159</v>
      </c>
      <c r="B160" s="6"/>
      <c r="D160" s="1" t="e">
        <f t="shared" si="73"/>
        <v>#VALUE!</v>
      </c>
      <c r="E160" s="1" t="e">
        <f t="shared" si="74"/>
        <v>#VALUE!</v>
      </c>
      <c r="F160" s="1" t="e">
        <f>AVERAGE($E$2:E160)</f>
        <v>#VALUE!</v>
      </c>
      <c r="G160" s="1" t="e">
        <f t="shared" si="66"/>
        <v>#VALUE!</v>
      </c>
      <c r="H160" s="1" t="e">
        <f t="shared" si="67"/>
        <v>#VALUE!</v>
      </c>
      <c r="I160" s="1" t="e">
        <f>AVERAGE($D$2:D160)</f>
        <v>#VALUE!</v>
      </c>
      <c r="J160" s="1" t="e">
        <f t="shared" si="68"/>
        <v>#VALUE!</v>
      </c>
      <c r="K160" s="4" t="e" cm="1">
        <f t="array" ref="K160">_xlfn.IFS(J160&gt;60, J160-60, J160&lt;60, J160, J160=60, 0)</f>
        <v>#VALUE!</v>
      </c>
      <c r="L160" s="1" t="e">
        <f t="shared" si="69"/>
        <v>#VALUE!</v>
      </c>
      <c r="M160" s="3" t="e">
        <f t="shared" si="70"/>
        <v>#VALUE!</v>
      </c>
      <c r="N160" s="1" t="e">
        <f t="shared" si="71"/>
        <v>#VALUE!</v>
      </c>
      <c r="O160" s="2" t="str">
        <f t="shared" si="72"/>
        <v/>
      </c>
      <c r="P160" s="1" t="str">
        <f t="shared" si="75"/>
        <v/>
      </c>
      <c r="Q160" s="47" t="str">
        <f>IF(COUNTA(C160)=1,(Table1[[#This Row],[min]]+(Table1[[#This Row],[sec]]/60))/1440, "")</f>
        <v/>
      </c>
    </row>
    <row r="161" spans="1:17" x14ac:dyDescent="0.25">
      <c r="A161" s="1">
        <v>160</v>
      </c>
      <c r="B161" s="6"/>
      <c r="D161" s="1" t="e">
        <f t="shared" si="73"/>
        <v>#VALUE!</v>
      </c>
      <c r="E161" s="1" t="e">
        <f t="shared" si="74"/>
        <v>#VALUE!</v>
      </c>
      <c r="F161" s="1" t="e">
        <f>AVERAGE($E$2:E161)</f>
        <v>#VALUE!</v>
      </c>
      <c r="G161" s="1" t="e">
        <f t="shared" si="66"/>
        <v>#VALUE!</v>
      </c>
      <c r="H161" s="1" t="e">
        <f t="shared" si="67"/>
        <v>#VALUE!</v>
      </c>
      <c r="I161" s="1" t="e">
        <f>AVERAGE($D$2:D161)</f>
        <v>#VALUE!</v>
      </c>
      <c r="J161" s="1" t="e">
        <f t="shared" si="68"/>
        <v>#VALUE!</v>
      </c>
      <c r="K161" s="4" t="e" cm="1">
        <f t="array" ref="K161">_xlfn.IFS(J161&gt;60, J161-60, J161&lt;60, J161, J161=60, 0)</f>
        <v>#VALUE!</v>
      </c>
      <c r="L161" s="1" t="e">
        <f t="shared" si="69"/>
        <v>#VALUE!</v>
      </c>
      <c r="M161" s="3" t="e">
        <f t="shared" si="70"/>
        <v>#VALUE!</v>
      </c>
      <c r="N161" s="1" t="e">
        <f t="shared" si="71"/>
        <v>#VALUE!</v>
      </c>
      <c r="O161" s="2" t="str">
        <f t="shared" si="72"/>
        <v/>
      </c>
      <c r="P161" s="1" t="str">
        <f t="shared" si="75"/>
        <v/>
      </c>
      <c r="Q161" s="47" t="str">
        <f>IF(COUNTA(C161)=1,(Table1[[#This Row],[min]]+(Table1[[#This Row],[sec]]/60))/1440, "")</f>
        <v/>
      </c>
    </row>
    <row r="162" spans="1:17" x14ac:dyDescent="0.25">
      <c r="A162" s="1">
        <v>161</v>
      </c>
      <c r="B162" s="6"/>
      <c r="D162" s="1" t="e">
        <f t="shared" si="73"/>
        <v>#VALUE!</v>
      </c>
      <c r="E162" s="1" t="e">
        <f t="shared" si="74"/>
        <v>#VALUE!</v>
      </c>
      <c r="F162" s="1" t="e">
        <f>AVERAGE($E$2:E162)</f>
        <v>#VALUE!</v>
      </c>
      <c r="G162" s="1" t="e">
        <f t="shared" si="66"/>
        <v>#VALUE!</v>
      </c>
      <c r="H162" s="1" t="e">
        <f t="shared" si="67"/>
        <v>#VALUE!</v>
      </c>
      <c r="I162" s="1" t="e">
        <f>AVERAGE($D$2:D162)</f>
        <v>#VALUE!</v>
      </c>
      <c r="J162" s="1" t="e">
        <f t="shared" si="68"/>
        <v>#VALUE!</v>
      </c>
      <c r="K162" s="4" t="e" cm="1">
        <f t="array" ref="K162">_xlfn.IFS(J162&gt;60, J162-60, J162&lt;60, J162, J162=60, 0)</f>
        <v>#VALUE!</v>
      </c>
      <c r="L162" s="1" t="e">
        <f t="shared" si="69"/>
        <v>#VALUE!</v>
      </c>
      <c r="M162" s="3" t="e">
        <f t="shared" si="70"/>
        <v>#VALUE!</v>
      </c>
      <c r="N162" s="1" t="e">
        <f t="shared" si="71"/>
        <v>#VALUE!</v>
      </c>
      <c r="O162" s="2" t="str">
        <f t="shared" si="72"/>
        <v/>
      </c>
      <c r="P162" s="1" t="str">
        <f t="shared" si="75"/>
        <v/>
      </c>
      <c r="Q162" s="47" t="str">
        <f>IF(COUNTA(C162)=1,(Table1[[#This Row],[min]]+(Table1[[#This Row],[sec]]/60))/1440, "")</f>
        <v/>
      </c>
    </row>
    <row r="163" spans="1:17" x14ac:dyDescent="0.25">
      <c r="A163" s="1">
        <v>162</v>
      </c>
      <c r="B163" s="6"/>
      <c r="D163" s="1" t="e">
        <f t="shared" si="73"/>
        <v>#VALUE!</v>
      </c>
      <c r="E163" s="1" t="e">
        <f t="shared" si="74"/>
        <v>#VALUE!</v>
      </c>
      <c r="F163" s="1" t="e">
        <f>AVERAGE($E$2:E163)</f>
        <v>#VALUE!</v>
      </c>
      <c r="G163" s="1" t="e">
        <f t="shared" ref="G163:G226" si="76">IF(INT(F163)=F163,0,VALUE(MID(F163,2,4)))</f>
        <v>#VALUE!</v>
      </c>
      <c r="H163" s="1" t="e">
        <f t="shared" ref="H163:H226" si="77">G163*60</f>
        <v>#VALUE!</v>
      </c>
      <c r="I163" s="1" t="e">
        <f>AVERAGE($D$2:D163)</f>
        <v>#VALUE!</v>
      </c>
      <c r="J163" s="1" t="e">
        <f t="shared" ref="J163:J226" si="78">H163+I163</f>
        <v>#VALUE!</v>
      </c>
      <c r="K163" s="4" t="e" cm="1">
        <f t="array" ref="K163">_xlfn.IFS(J163&gt;60, J163-60, J163&lt;60, J163, J163=60, 0)</f>
        <v>#VALUE!</v>
      </c>
      <c r="L163" s="1" t="e">
        <f t="shared" ref="L163:L226" si="79">IF(J163&gt;60, 1 + VALUE(LEFT(F163,1)), VALUE(LEFT(F163,1)))</f>
        <v>#VALUE!</v>
      </c>
      <c r="M163" s="3" t="e">
        <f t="shared" ref="M163:M226" si="80" xml:space="preserve"> VALUE(LEFT(K163,5))</f>
        <v>#VALUE!</v>
      </c>
      <c r="N163" s="1" t="e">
        <f t="shared" ref="N163:N226" si="81">IF(K163&lt;10, CONCATENATE(L163, ":", 0, M163, " min/km"), CONCATENATE(L163, ":", M163, " min/km"))</f>
        <v>#VALUE!</v>
      </c>
      <c r="O163" s="2" t="str">
        <f t="shared" ref="O163:O226" si="82">IF(COUNT(C163)=1, N163, "")</f>
        <v/>
      </c>
      <c r="P163" s="1" t="str">
        <f t="shared" si="75"/>
        <v/>
      </c>
      <c r="Q163" s="47" t="str">
        <f>IF(COUNTA(C163)=1,(Table1[[#This Row],[min]]+(Table1[[#This Row],[sec]]/60))/1440, "")</f>
        <v/>
      </c>
    </row>
    <row r="164" spans="1:17" x14ac:dyDescent="0.25">
      <c r="A164" s="1">
        <v>163</v>
      </c>
      <c r="B164" s="6"/>
      <c r="D164" s="1" t="e">
        <f t="shared" si="73"/>
        <v>#VALUE!</v>
      </c>
      <c r="E164" s="1" t="e">
        <f t="shared" si="74"/>
        <v>#VALUE!</v>
      </c>
      <c r="F164" s="1" t="e">
        <f>AVERAGE($E$2:E164)</f>
        <v>#VALUE!</v>
      </c>
      <c r="G164" s="1" t="e">
        <f t="shared" si="76"/>
        <v>#VALUE!</v>
      </c>
      <c r="H164" s="1" t="e">
        <f t="shared" si="77"/>
        <v>#VALUE!</v>
      </c>
      <c r="I164" s="1" t="e">
        <f>AVERAGE($D$2:D164)</f>
        <v>#VALUE!</v>
      </c>
      <c r="J164" s="1" t="e">
        <f t="shared" si="78"/>
        <v>#VALUE!</v>
      </c>
      <c r="K164" s="4" t="e" cm="1">
        <f t="array" ref="K164">_xlfn.IFS(J164&gt;60, J164-60, J164&lt;60, J164, J164=60, 0)</f>
        <v>#VALUE!</v>
      </c>
      <c r="L164" s="1" t="e">
        <f t="shared" si="79"/>
        <v>#VALUE!</v>
      </c>
      <c r="M164" s="3" t="e">
        <f t="shared" si="80"/>
        <v>#VALUE!</v>
      </c>
      <c r="N164" s="1" t="e">
        <f t="shared" si="81"/>
        <v>#VALUE!</v>
      </c>
      <c r="O164" s="2" t="str">
        <f t="shared" si="82"/>
        <v/>
      </c>
      <c r="P164" s="1" t="str">
        <f t="shared" si="75"/>
        <v/>
      </c>
      <c r="Q164" s="47" t="str">
        <f>IF(COUNTA(C164)=1,(Table1[[#This Row],[min]]+(Table1[[#This Row],[sec]]/60))/1440, "")</f>
        <v/>
      </c>
    </row>
    <row r="165" spans="1:17" x14ac:dyDescent="0.25">
      <c r="A165" s="1">
        <v>164</v>
      </c>
      <c r="B165" s="6"/>
      <c r="D165" s="1" t="e">
        <f t="shared" si="73"/>
        <v>#VALUE!</v>
      </c>
      <c r="E165" s="1" t="e">
        <f t="shared" si="74"/>
        <v>#VALUE!</v>
      </c>
      <c r="F165" s="1" t="e">
        <f>AVERAGE($E$2:E165)</f>
        <v>#VALUE!</v>
      </c>
      <c r="G165" s="1" t="e">
        <f t="shared" si="76"/>
        <v>#VALUE!</v>
      </c>
      <c r="H165" s="1" t="e">
        <f t="shared" si="77"/>
        <v>#VALUE!</v>
      </c>
      <c r="I165" s="1" t="e">
        <f>AVERAGE($D$2:D165)</f>
        <v>#VALUE!</v>
      </c>
      <c r="J165" s="1" t="e">
        <f t="shared" si="78"/>
        <v>#VALUE!</v>
      </c>
      <c r="K165" s="4" t="e" cm="1">
        <f t="array" ref="K165">_xlfn.IFS(J165&gt;60, J165-60, J165&lt;60, J165, J165=60, 0)</f>
        <v>#VALUE!</v>
      </c>
      <c r="L165" s="1" t="e">
        <f t="shared" si="79"/>
        <v>#VALUE!</v>
      </c>
      <c r="M165" s="3" t="e">
        <f t="shared" si="80"/>
        <v>#VALUE!</v>
      </c>
      <c r="N165" s="1" t="e">
        <f t="shared" si="81"/>
        <v>#VALUE!</v>
      </c>
      <c r="O165" s="2" t="str">
        <f t="shared" si="82"/>
        <v/>
      </c>
      <c r="P165" s="1" t="str">
        <f t="shared" si="75"/>
        <v/>
      </c>
      <c r="Q165" s="47" t="str">
        <f>IF(COUNTA(C165)=1,(Table1[[#This Row],[min]]+(Table1[[#This Row],[sec]]/60))/1440, "")</f>
        <v/>
      </c>
    </row>
    <row r="166" spans="1:17" x14ac:dyDescent="0.25">
      <c r="A166" s="1">
        <v>165</v>
      </c>
      <c r="B166" s="6"/>
      <c r="D166" s="1" t="e">
        <f t="shared" si="73"/>
        <v>#VALUE!</v>
      </c>
      <c r="E166" s="1" t="e">
        <f t="shared" si="74"/>
        <v>#VALUE!</v>
      </c>
      <c r="F166" s="1" t="e">
        <f>AVERAGE($E$2:E166)</f>
        <v>#VALUE!</v>
      </c>
      <c r="G166" s="1" t="e">
        <f t="shared" si="76"/>
        <v>#VALUE!</v>
      </c>
      <c r="H166" s="1" t="e">
        <f t="shared" si="77"/>
        <v>#VALUE!</v>
      </c>
      <c r="I166" s="1" t="e">
        <f>AVERAGE($D$2:D166)</f>
        <v>#VALUE!</v>
      </c>
      <c r="J166" s="1" t="e">
        <f t="shared" si="78"/>
        <v>#VALUE!</v>
      </c>
      <c r="K166" s="4" t="e" cm="1">
        <f t="array" ref="K166">_xlfn.IFS(J166&gt;60, J166-60, J166&lt;60, J166, J166=60, 0)</f>
        <v>#VALUE!</v>
      </c>
      <c r="L166" s="1" t="e">
        <f t="shared" si="79"/>
        <v>#VALUE!</v>
      </c>
      <c r="M166" s="3" t="e">
        <f t="shared" si="80"/>
        <v>#VALUE!</v>
      </c>
      <c r="N166" s="1" t="e">
        <f t="shared" si="81"/>
        <v>#VALUE!</v>
      </c>
      <c r="O166" s="2" t="str">
        <f t="shared" si="82"/>
        <v/>
      </c>
      <c r="P166" s="1" t="str">
        <f t="shared" si="75"/>
        <v/>
      </c>
      <c r="Q166" s="47" t="str">
        <f>IF(COUNTA(C166)=1,(Table1[[#This Row],[min]]+(Table1[[#This Row],[sec]]/60))/1440, "")</f>
        <v/>
      </c>
    </row>
    <row r="167" spans="1:17" x14ac:dyDescent="0.25">
      <c r="A167" s="1">
        <v>166</v>
      </c>
      <c r="B167" s="6"/>
      <c r="D167" s="1" t="e">
        <f t="shared" ref="D167:D230" si="83">VALUE(RIGHT(C167, 2))</f>
        <v>#VALUE!</v>
      </c>
      <c r="E167" s="1" t="e">
        <f t="shared" ref="E167:E230" si="84">VALUE(LEFT(C167,1))</f>
        <v>#VALUE!</v>
      </c>
      <c r="F167" s="1" t="e">
        <f>AVERAGE($E$2:E167)</f>
        <v>#VALUE!</v>
      </c>
      <c r="G167" s="1" t="e">
        <f t="shared" si="76"/>
        <v>#VALUE!</v>
      </c>
      <c r="H167" s="1" t="e">
        <f t="shared" si="77"/>
        <v>#VALUE!</v>
      </c>
      <c r="I167" s="1" t="e">
        <f>AVERAGE($D$2:D167)</f>
        <v>#VALUE!</v>
      </c>
      <c r="J167" s="1" t="e">
        <f t="shared" si="78"/>
        <v>#VALUE!</v>
      </c>
      <c r="K167" s="4" t="e" cm="1">
        <f t="array" ref="K167">_xlfn.IFS(J167&gt;60, J167-60, J167&lt;60, J167, J167=60, 0)</f>
        <v>#VALUE!</v>
      </c>
      <c r="L167" s="1" t="e">
        <f t="shared" si="79"/>
        <v>#VALUE!</v>
      </c>
      <c r="M167" s="3" t="e">
        <f t="shared" si="80"/>
        <v>#VALUE!</v>
      </c>
      <c r="N167" s="1" t="e">
        <f t="shared" si="81"/>
        <v>#VALUE!</v>
      </c>
      <c r="O167" s="2" t="str">
        <f t="shared" si="82"/>
        <v/>
      </c>
      <c r="P167" s="1" t="str">
        <f t="shared" si="75"/>
        <v/>
      </c>
      <c r="Q167" s="47" t="str">
        <f>IF(COUNTA(C167)=1,(Table1[[#This Row],[min]]+(Table1[[#This Row],[sec]]/60))/1440, "")</f>
        <v/>
      </c>
    </row>
    <row r="168" spans="1:17" x14ac:dyDescent="0.25">
      <c r="A168" s="1">
        <v>167</v>
      </c>
      <c r="B168" s="6"/>
      <c r="D168" s="1" t="e">
        <f t="shared" si="83"/>
        <v>#VALUE!</v>
      </c>
      <c r="E168" s="1" t="e">
        <f t="shared" si="84"/>
        <v>#VALUE!</v>
      </c>
      <c r="F168" s="1" t="e">
        <f>AVERAGE($E$2:E168)</f>
        <v>#VALUE!</v>
      </c>
      <c r="G168" s="1" t="e">
        <f t="shared" si="76"/>
        <v>#VALUE!</v>
      </c>
      <c r="H168" s="1" t="e">
        <f t="shared" si="77"/>
        <v>#VALUE!</v>
      </c>
      <c r="I168" s="1" t="e">
        <f>AVERAGE($D$2:D168)</f>
        <v>#VALUE!</v>
      </c>
      <c r="J168" s="1" t="e">
        <f t="shared" si="78"/>
        <v>#VALUE!</v>
      </c>
      <c r="K168" s="4" t="e" cm="1">
        <f t="array" ref="K168">_xlfn.IFS(J168&gt;60, J168-60, J168&lt;60, J168, J168=60, 0)</f>
        <v>#VALUE!</v>
      </c>
      <c r="L168" s="1" t="e">
        <f t="shared" si="79"/>
        <v>#VALUE!</v>
      </c>
      <c r="M168" s="3" t="e">
        <f t="shared" si="80"/>
        <v>#VALUE!</v>
      </c>
      <c r="N168" s="1" t="e">
        <f t="shared" si="81"/>
        <v>#VALUE!</v>
      </c>
      <c r="O168" s="2" t="str">
        <f t="shared" si="82"/>
        <v/>
      </c>
      <c r="P168" s="1" t="str">
        <f t="shared" si="75"/>
        <v/>
      </c>
      <c r="Q168" s="47" t="str">
        <f>IF(COUNTA(C168)=1,(Table1[[#This Row],[min]]+(Table1[[#This Row],[sec]]/60))/1440, "")</f>
        <v/>
      </c>
    </row>
    <row r="169" spans="1:17" x14ac:dyDescent="0.25">
      <c r="A169" s="1">
        <v>168</v>
      </c>
      <c r="B169" s="6"/>
      <c r="D169" s="1" t="e">
        <f t="shared" si="83"/>
        <v>#VALUE!</v>
      </c>
      <c r="E169" s="1" t="e">
        <f t="shared" si="84"/>
        <v>#VALUE!</v>
      </c>
      <c r="F169" s="1" t="e">
        <f>AVERAGE($E$2:E169)</f>
        <v>#VALUE!</v>
      </c>
      <c r="G169" s="1" t="e">
        <f t="shared" si="76"/>
        <v>#VALUE!</v>
      </c>
      <c r="H169" s="1" t="e">
        <f t="shared" si="77"/>
        <v>#VALUE!</v>
      </c>
      <c r="I169" s="1" t="e">
        <f>AVERAGE($D$2:D169)</f>
        <v>#VALUE!</v>
      </c>
      <c r="J169" s="1" t="e">
        <f t="shared" si="78"/>
        <v>#VALUE!</v>
      </c>
      <c r="K169" s="4" t="e" cm="1">
        <f t="array" ref="K169">_xlfn.IFS(J169&gt;60, J169-60, J169&lt;60, J169, J169=60, 0)</f>
        <v>#VALUE!</v>
      </c>
      <c r="L169" s="1" t="e">
        <f t="shared" si="79"/>
        <v>#VALUE!</v>
      </c>
      <c r="M169" s="3" t="e">
        <f t="shared" si="80"/>
        <v>#VALUE!</v>
      </c>
      <c r="N169" s="1" t="e">
        <f t="shared" si="81"/>
        <v>#VALUE!</v>
      </c>
      <c r="O169" s="2" t="str">
        <f t="shared" si="82"/>
        <v/>
      </c>
      <c r="P169" s="1" t="str">
        <f t="shared" si="75"/>
        <v/>
      </c>
      <c r="Q169" s="47" t="str">
        <f>IF(COUNTA(C169)=1,(Table1[[#This Row],[min]]+(Table1[[#This Row],[sec]]/60))/1440, "")</f>
        <v/>
      </c>
    </row>
    <row r="170" spans="1:17" x14ac:dyDescent="0.25">
      <c r="A170" s="1">
        <v>169</v>
      </c>
      <c r="B170" s="6"/>
      <c r="D170" s="1" t="e">
        <f t="shared" si="83"/>
        <v>#VALUE!</v>
      </c>
      <c r="E170" s="1" t="e">
        <f t="shared" si="84"/>
        <v>#VALUE!</v>
      </c>
      <c r="F170" s="1" t="e">
        <f>AVERAGE($E$2:E170)</f>
        <v>#VALUE!</v>
      </c>
      <c r="G170" s="1" t="e">
        <f t="shared" si="76"/>
        <v>#VALUE!</v>
      </c>
      <c r="H170" s="1" t="e">
        <f t="shared" si="77"/>
        <v>#VALUE!</v>
      </c>
      <c r="I170" s="1" t="e">
        <f>AVERAGE($D$2:D170)</f>
        <v>#VALUE!</v>
      </c>
      <c r="J170" s="1" t="e">
        <f t="shared" si="78"/>
        <v>#VALUE!</v>
      </c>
      <c r="K170" s="4" t="e" cm="1">
        <f t="array" ref="K170">_xlfn.IFS(J170&gt;60, J170-60, J170&lt;60, J170, J170=60, 0)</f>
        <v>#VALUE!</v>
      </c>
      <c r="L170" s="1" t="e">
        <f t="shared" si="79"/>
        <v>#VALUE!</v>
      </c>
      <c r="M170" s="3" t="e">
        <f t="shared" si="80"/>
        <v>#VALUE!</v>
      </c>
      <c r="N170" s="1" t="e">
        <f t="shared" si="81"/>
        <v>#VALUE!</v>
      </c>
      <c r="O170" s="2" t="str">
        <f t="shared" si="82"/>
        <v/>
      </c>
      <c r="P170" s="1" t="str">
        <f t="shared" si="75"/>
        <v/>
      </c>
      <c r="Q170" s="47" t="str">
        <f>IF(COUNTA(C170)=1,(Table1[[#This Row],[min]]+(Table1[[#This Row],[sec]]/60))/1440, "")</f>
        <v/>
      </c>
    </row>
    <row r="171" spans="1:17" x14ac:dyDescent="0.25">
      <c r="A171" s="1">
        <v>170</v>
      </c>
      <c r="B171" s="6"/>
      <c r="D171" s="1" t="e">
        <f t="shared" si="83"/>
        <v>#VALUE!</v>
      </c>
      <c r="E171" s="1" t="e">
        <f t="shared" si="84"/>
        <v>#VALUE!</v>
      </c>
      <c r="F171" s="1" t="e">
        <f>AVERAGE($E$2:E171)</f>
        <v>#VALUE!</v>
      </c>
      <c r="G171" s="1" t="e">
        <f t="shared" si="76"/>
        <v>#VALUE!</v>
      </c>
      <c r="H171" s="1" t="e">
        <f t="shared" si="77"/>
        <v>#VALUE!</v>
      </c>
      <c r="I171" s="1" t="e">
        <f>AVERAGE($D$2:D171)</f>
        <v>#VALUE!</v>
      </c>
      <c r="J171" s="1" t="e">
        <f t="shared" si="78"/>
        <v>#VALUE!</v>
      </c>
      <c r="K171" s="4" t="e" cm="1">
        <f t="array" ref="K171">_xlfn.IFS(J171&gt;60, J171-60, J171&lt;60, J171, J171=60, 0)</f>
        <v>#VALUE!</v>
      </c>
      <c r="L171" s="1" t="e">
        <f t="shared" si="79"/>
        <v>#VALUE!</v>
      </c>
      <c r="M171" s="3" t="e">
        <f t="shared" si="80"/>
        <v>#VALUE!</v>
      </c>
      <c r="N171" s="1" t="e">
        <f t="shared" si="81"/>
        <v>#VALUE!</v>
      </c>
      <c r="O171" s="2" t="str">
        <f t="shared" si="82"/>
        <v/>
      </c>
      <c r="P171" s="1" t="str">
        <f t="shared" si="75"/>
        <v/>
      </c>
      <c r="Q171" s="47" t="str">
        <f>IF(COUNTA(C171)=1,(Table1[[#This Row],[min]]+(Table1[[#This Row],[sec]]/60))/1440, "")</f>
        <v/>
      </c>
    </row>
    <row r="172" spans="1:17" x14ac:dyDescent="0.25">
      <c r="A172" s="1">
        <v>171</v>
      </c>
      <c r="B172" s="6"/>
      <c r="D172" s="1" t="e">
        <f t="shared" si="83"/>
        <v>#VALUE!</v>
      </c>
      <c r="E172" s="1" t="e">
        <f t="shared" si="84"/>
        <v>#VALUE!</v>
      </c>
      <c r="F172" s="1" t="e">
        <f>AVERAGE($E$2:E172)</f>
        <v>#VALUE!</v>
      </c>
      <c r="G172" s="1" t="e">
        <f t="shared" si="76"/>
        <v>#VALUE!</v>
      </c>
      <c r="H172" s="1" t="e">
        <f t="shared" si="77"/>
        <v>#VALUE!</v>
      </c>
      <c r="I172" s="1" t="e">
        <f>AVERAGE($D$2:D172)</f>
        <v>#VALUE!</v>
      </c>
      <c r="J172" s="1" t="e">
        <f t="shared" si="78"/>
        <v>#VALUE!</v>
      </c>
      <c r="K172" s="4" t="e" cm="1">
        <f t="array" ref="K172">_xlfn.IFS(J172&gt;60, J172-60, J172&lt;60, J172, J172=60, 0)</f>
        <v>#VALUE!</v>
      </c>
      <c r="L172" s="1" t="e">
        <f t="shared" si="79"/>
        <v>#VALUE!</v>
      </c>
      <c r="M172" s="3" t="e">
        <f t="shared" si="80"/>
        <v>#VALUE!</v>
      </c>
      <c r="N172" s="1" t="e">
        <f t="shared" si="81"/>
        <v>#VALUE!</v>
      </c>
      <c r="O172" s="2" t="str">
        <f t="shared" si="82"/>
        <v/>
      </c>
      <c r="P172" s="1" t="str">
        <f t="shared" si="75"/>
        <v/>
      </c>
      <c r="Q172" s="47" t="str">
        <f>IF(COUNTA(C172)=1,(Table1[[#This Row],[min]]+(Table1[[#This Row],[sec]]/60))/1440, "")</f>
        <v/>
      </c>
    </row>
    <row r="173" spans="1:17" x14ac:dyDescent="0.25">
      <c r="A173" s="1">
        <v>172</v>
      </c>
      <c r="B173" s="6"/>
      <c r="D173" s="1" t="e">
        <f t="shared" si="83"/>
        <v>#VALUE!</v>
      </c>
      <c r="E173" s="1" t="e">
        <f t="shared" si="84"/>
        <v>#VALUE!</v>
      </c>
      <c r="F173" s="1" t="e">
        <f>AVERAGE($E$2:E173)</f>
        <v>#VALUE!</v>
      </c>
      <c r="G173" s="1" t="e">
        <f t="shared" si="76"/>
        <v>#VALUE!</v>
      </c>
      <c r="H173" s="1" t="e">
        <f t="shared" si="77"/>
        <v>#VALUE!</v>
      </c>
      <c r="I173" s="1" t="e">
        <f>AVERAGE($D$2:D173)</f>
        <v>#VALUE!</v>
      </c>
      <c r="J173" s="1" t="e">
        <f t="shared" si="78"/>
        <v>#VALUE!</v>
      </c>
      <c r="K173" s="4" t="e" cm="1">
        <f t="array" ref="K173">_xlfn.IFS(J173&gt;60, J173-60, J173&lt;60, J173, J173=60, 0)</f>
        <v>#VALUE!</v>
      </c>
      <c r="L173" s="1" t="e">
        <f t="shared" si="79"/>
        <v>#VALUE!</v>
      </c>
      <c r="M173" s="3" t="e">
        <f t="shared" si="80"/>
        <v>#VALUE!</v>
      </c>
      <c r="N173" s="1" t="e">
        <f t="shared" si="81"/>
        <v>#VALUE!</v>
      </c>
      <c r="O173" s="2" t="str">
        <f t="shared" si="82"/>
        <v/>
      </c>
      <c r="P173" s="1" t="str">
        <f t="shared" si="75"/>
        <v/>
      </c>
      <c r="Q173" s="47" t="str">
        <f>IF(COUNTA(C173)=1,(Table1[[#This Row],[min]]+(Table1[[#This Row],[sec]]/60))/1440, "")</f>
        <v/>
      </c>
    </row>
    <row r="174" spans="1:17" x14ac:dyDescent="0.25">
      <c r="A174" s="1">
        <v>173</v>
      </c>
      <c r="B174" s="6"/>
      <c r="D174" s="1" t="e">
        <f t="shared" si="83"/>
        <v>#VALUE!</v>
      </c>
      <c r="E174" s="1" t="e">
        <f t="shared" si="84"/>
        <v>#VALUE!</v>
      </c>
      <c r="F174" s="1" t="e">
        <f>AVERAGE($E$2:E174)</f>
        <v>#VALUE!</v>
      </c>
      <c r="G174" s="1" t="e">
        <f t="shared" si="76"/>
        <v>#VALUE!</v>
      </c>
      <c r="H174" s="1" t="e">
        <f t="shared" si="77"/>
        <v>#VALUE!</v>
      </c>
      <c r="I174" s="1" t="e">
        <f>AVERAGE($D$2:D174)</f>
        <v>#VALUE!</v>
      </c>
      <c r="J174" s="1" t="e">
        <f t="shared" si="78"/>
        <v>#VALUE!</v>
      </c>
      <c r="K174" s="4" t="e" cm="1">
        <f t="array" ref="K174">_xlfn.IFS(J174&gt;60, J174-60, J174&lt;60, J174, J174=60, 0)</f>
        <v>#VALUE!</v>
      </c>
      <c r="L174" s="1" t="e">
        <f t="shared" si="79"/>
        <v>#VALUE!</v>
      </c>
      <c r="M174" s="3" t="e">
        <f t="shared" si="80"/>
        <v>#VALUE!</v>
      </c>
      <c r="N174" s="1" t="e">
        <f t="shared" si="81"/>
        <v>#VALUE!</v>
      </c>
      <c r="O174" s="2" t="str">
        <f t="shared" si="82"/>
        <v/>
      </c>
      <c r="P174" s="1" t="str">
        <f t="shared" si="75"/>
        <v/>
      </c>
      <c r="Q174" s="47" t="str">
        <f>IF(COUNTA(C174)=1,(Table1[[#This Row],[min]]+(Table1[[#This Row],[sec]]/60))/1440, "")</f>
        <v/>
      </c>
    </row>
    <row r="175" spans="1:17" x14ac:dyDescent="0.25">
      <c r="A175" s="1">
        <v>174</v>
      </c>
      <c r="B175" s="6"/>
      <c r="D175" s="1" t="e">
        <f t="shared" si="83"/>
        <v>#VALUE!</v>
      </c>
      <c r="E175" s="1" t="e">
        <f t="shared" si="84"/>
        <v>#VALUE!</v>
      </c>
      <c r="F175" s="1" t="e">
        <f>AVERAGE($E$2:E175)</f>
        <v>#VALUE!</v>
      </c>
      <c r="G175" s="1" t="e">
        <f t="shared" si="76"/>
        <v>#VALUE!</v>
      </c>
      <c r="H175" s="1" t="e">
        <f t="shared" si="77"/>
        <v>#VALUE!</v>
      </c>
      <c r="I175" s="1" t="e">
        <f>AVERAGE($D$2:D175)</f>
        <v>#VALUE!</v>
      </c>
      <c r="J175" s="1" t="e">
        <f t="shared" si="78"/>
        <v>#VALUE!</v>
      </c>
      <c r="K175" s="4" t="e" cm="1">
        <f t="array" ref="K175">_xlfn.IFS(J175&gt;60, J175-60, J175&lt;60, J175, J175=60, 0)</f>
        <v>#VALUE!</v>
      </c>
      <c r="L175" s="1" t="e">
        <f t="shared" si="79"/>
        <v>#VALUE!</v>
      </c>
      <c r="M175" s="3" t="e">
        <f t="shared" si="80"/>
        <v>#VALUE!</v>
      </c>
      <c r="N175" s="1" t="e">
        <f t="shared" si="81"/>
        <v>#VALUE!</v>
      </c>
      <c r="O175" s="2" t="str">
        <f t="shared" si="82"/>
        <v/>
      </c>
      <c r="P175" s="1" t="str">
        <f t="shared" si="75"/>
        <v/>
      </c>
      <c r="Q175" s="47" t="str">
        <f>IF(COUNTA(C175)=1,(Table1[[#This Row],[min]]+(Table1[[#This Row],[sec]]/60))/1440, "")</f>
        <v/>
      </c>
    </row>
    <row r="176" spans="1:17" x14ac:dyDescent="0.25">
      <c r="A176" s="1">
        <v>175</v>
      </c>
      <c r="B176" s="6"/>
      <c r="D176" s="1" t="e">
        <f t="shared" si="83"/>
        <v>#VALUE!</v>
      </c>
      <c r="E176" s="1" t="e">
        <f t="shared" si="84"/>
        <v>#VALUE!</v>
      </c>
      <c r="F176" s="1" t="e">
        <f>AVERAGE($E$2:E176)</f>
        <v>#VALUE!</v>
      </c>
      <c r="G176" s="1" t="e">
        <f t="shared" si="76"/>
        <v>#VALUE!</v>
      </c>
      <c r="H176" s="1" t="e">
        <f t="shared" si="77"/>
        <v>#VALUE!</v>
      </c>
      <c r="I176" s="1" t="e">
        <f>AVERAGE($D$2:D176)</f>
        <v>#VALUE!</v>
      </c>
      <c r="J176" s="1" t="e">
        <f t="shared" si="78"/>
        <v>#VALUE!</v>
      </c>
      <c r="K176" s="4" t="e" cm="1">
        <f t="array" ref="K176">_xlfn.IFS(J176&gt;60, J176-60, J176&lt;60, J176, J176=60, 0)</f>
        <v>#VALUE!</v>
      </c>
      <c r="L176" s="1" t="e">
        <f t="shared" si="79"/>
        <v>#VALUE!</v>
      </c>
      <c r="M176" s="3" t="e">
        <f t="shared" si="80"/>
        <v>#VALUE!</v>
      </c>
      <c r="N176" s="1" t="e">
        <f t="shared" si="81"/>
        <v>#VALUE!</v>
      </c>
      <c r="O176" s="2" t="str">
        <f t="shared" si="82"/>
        <v/>
      </c>
      <c r="P176" s="1" t="str">
        <f t="shared" si="75"/>
        <v/>
      </c>
      <c r="Q176" s="47" t="str">
        <f>IF(COUNTA(C176)=1,(Table1[[#This Row],[min]]+(Table1[[#This Row],[sec]]/60))/1440, "")</f>
        <v/>
      </c>
    </row>
    <row r="177" spans="1:17" x14ac:dyDescent="0.25">
      <c r="A177" s="1">
        <v>176</v>
      </c>
      <c r="B177" s="6"/>
      <c r="D177" s="1" t="e">
        <f t="shared" si="83"/>
        <v>#VALUE!</v>
      </c>
      <c r="E177" s="1" t="e">
        <f t="shared" si="84"/>
        <v>#VALUE!</v>
      </c>
      <c r="F177" s="1" t="e">
        <f>AVERAGE($E$2:E177)</f>
        <v>#VALUE!</v>
      </c>
      <c r="G177" s="1" t="e">
        <f t="shared" si="76"/>
        <v>#VALUE!</v>
      </c>
      <c r="H177" s="1" t="e">
        <f t="shared" si="77"/>
        <v>#VALUE!</v>
      </c>
      <c r="I177" s="1" t="e">
        <f>AVERAGE($D$2:D177)</f>
        <v>#VALUE!</v>
      </c>
      <c r="J177" s="1" t="e">
        <f t="shared" si="78"/>
        <v>#VALUE!</v>
      </c>
      <c r="K177" s="4" t="e" cm="1">
        <f t="array" ref="K177">_xlfn.IFS(J177&gt;60, J177-60, J177&lt;60, J177, J177=60, 0)</f>
        <v>#VALUE!</v>
      </c>
      <c r="L177" s="1" t="e">
        <f t="shared" si="79"/>
        <v>#VALUE!</v>
      </c>
      <c r="M177" s="3" t="e">
        <f t="shared" si="80"/>
        <v>#VALUE!</v>
      </c>
      <c r="N177" s="1" t="e">
        <f t="shared" si="81"/>
        <v>#VALUE!</v>
      </c>
      <c r="O177" s="2" t="str">
        <f t="shared" si="82"/>
        <v/>
      </c>
      <c r="P177" s="1" t="str">
        <f t="shared" si="75"/>
        <v/>
      </c>
      <c r="Q177" s="47" t="str">
        <f>IF(COUNTA(C177)=1,(Table1[[#This Row],[min]]+(Table1[[#This Row],[sec]]/60))/1440, "")</f>
        <v/>
      </c>
    </row>
    <row r="178" spans="1:17" x14ac:dyDescent="0.25">
      <c r="A178" s="1">
        <v>177</v>
      </c>
      <c r="B178" s="6"/>
      <c r="D178" s="1" t="e">
        <f t="shared" si="83"/>
        <v>#VALUE!</v>
      </c>
      <c r="E178" s="1" t="e">
        <f t="shared" si="84"/>
        <v>#VALUE!</v>
      </c>
      <c r="F178" s="1" t="e">
        <f>AVERAGE($E$2:E178)</f>
        <v>#VALUE!</v>
      </c>
      <c r="G178" s="1" t="e">
        <f t="shared" si="76"/>
        <v>#VALUE!</v>
      </c>
      <c r="H178" s="1" t="e">
        <f t="shared" si="77"/>
        <v>#VALUE!</v>
      </c>
      <c r="I178" s="1" t="e">
        <f>AVERAGE($D$2:D178)</f>
        <v>#VALUE!</v>
      </c>
      <c r="J178" s="1" t="e">
        <f t="shared" si="78"/>
        <v>#VALUE!</v>
      </c>
      <c r="K178" s="4" t="e" cm="1">
        <f t="array" ref="K178">_xlfn.IFS(J178&gt;60, J178-60, J178&lt;60, J178, J178=60, 0)</f>
        <v>#VALUE!</v>
      </c>
      <c r="L178" s="1" t="e">
        <f t="shared" si="79"/>
        <v>#VALUE!</v>
      </c>
      <c r="M178" s="3" t="e">
        <f t="shared" si="80"/>
        <v>#VALUE!</v>
      </c>
      <c r="N178" s="1" t="e">
        <f t="shared" si="81"/>
        <v>#VALUE!</v>
      </c>
      <c r="O178" s="2" t="str">
        <f t="shared" si="82"/>
        <v/>
      </c>
      <c r="P178" s="1" t="str">
        <f t="shared" si="75"/>
        <v/>
      </c>
      <c r="Q178" s="47" t="str">
        <f>IF(COUNTA(C178)=1,(Table1[[#This Row],[min]]+(Table1[[#This Row],[sec]]/60))/1440, "")</f>
        <v/>
      </c>
    </row>
    <row r="179" spans="1:17" x14ac:dyDescent="0.25">
      <c r="A179" s="1">
        <v>178</v>
      </c>
      <c r="B179" s="6"/>
      <c r="D179" s="1" t="e">
        <f t="shared" si="83"/>
        <v>#VALUE!</v>
      </c>
      <c r="E179" s="1" t="e">
        <f t="shared" si="84"/>
        <v>#VALUE!</v>
      </c>
      <c r="F179" s="1" t="e">
        <f>AVERAGE($E$2:E179)</f>
        <v>#VALUE!</v>
      </c>
      <c r="G179" s="1" t="e">
        <f t="shared" si="76"/>
        <v>#VALUE!</v>
      </c>
      <c r="H179" s="1" t="e">
        <f t="shared" si="77"/>
        <v>#VALUE!</v>
      </c>
      <c r="I179" s="1" t="e">
        <f>AVERAGE($D$2:D179)</f>
        <v>#VALUE!</v>
      </c>
      <c r="J179" s="1" t="e">
        <f t="shared" si="78"/>
        <v>#VALUE!</v>
      </c>
      <c r="K179" s="4" t="e" cm="1">
        <f t="array" ref="K179">_xlfn.IFS(J179&gt;60, J179-60, J179&lt;60, J179, J179=60, 0)</f>
        <v>#VALUE!</v>
      </c>
      <c r="L179" s="1" t="e">
        <f t="shared" si="79"/>
        <v>#VALUE!</v>
      </c>
      <c r="M179" s="3" t="e">
        <f t="shared" si="80"/>
        <v>#VALUE!</v>
      </c>
      <c r="N179" s="1" t="e">
        <f t="shared" si="81"/>
        <v>#VALUE!</v>
      </c>
      <c r="O179" s="2" t="str">
        <f t="shared" si="82"/>
        <v/>
      </c>
      <c r="P179" s="1" t="str">
        <f t="shared" si="75"/>
        <v/>
      </c>
      <c r="Q179" s="47" t="str">
        <f>IF(COUNTA(C179)=1,(Table1[[#This Row],[min]]+(Table1[[#This Row],[sec]]/60))/1440, "")</f>
        <v/>
      </c>
    </row>
    <row r="180" spans="1:17" x14ac:dyDescent="0.25">
      <c r="A180" s="1">
        <v>179</v>
      </c>
      <c r="B180" s="6"/>
      <c r="D180" s="1" t="e">
        <f t="shared" si="83"/>
        <v>#VALUE!</v>
      </c>
      <c r="E180" s="1" t="e">
        <f t="shared" si="84"/>
        <v>#VALUE!</v>
      </c>
      <c r="F180" s="1" t="e">
        <f>AVERAGE($E$2:E180)</f>
        <v>#VALUE!</v>
      </c>
      <c r="G180" s="1" t="e">
        <f t="shared" si="76"/>
        <v>#VALUE!</v>
      </c>
      <c r="H180" s="1" t="e">
        <f t="shared" si="77"/>
        <v>#VALUE!</v>
      </c>
      <c r="I180" s="1" t="e">
        <f>AVERAGE($D$2:D180)</f>
        <v>#VALUE!</v>
      </c>
      <c r="J180" s="1" t="e">
        <f t="shared" si="78"/>
        <v>#VALUE!</v>
      </c>
      <c r="K180" s="4" t="e" cm="1">
        <f t="array" ref="K180">_xlfn.IFS(J180&gt;60, J180-60, J180&lt;60, J180, J180=60, 0)</f>
        <v>#VALUE!</v>
      </c>
      <c r="L180" s="1" t="e">
        <f t="shared" si="79"/>
        <v>#VALUE!</v>
      </c>
      <c r="M180" s="3" t="e">
        <f t="shared" si="80"/>
        <v>#VALUE!</v>
      </c>
      <c r="N180" s="1" t="e">
        <f t="shared" si="81"/>
        <v>#VALUE!</v>
      </c>
      <c r="O180" s="2" t="str">
        <f t="shared" si="82"/>
        <v/>
      </c>
      <c r="P180" s="1" t="str">
        <f t="shared" si="75"/>
        <v/>
      </c>
      <c r="Q180" s="47" t="str">
        <f>IF(COUNTA(C180)=1,(Table1[[#This Row],[min]]+(Table1[[#This Row],[sec]]/60))/1440, "")</f>
        <v/>
      </c>
    </row>
    <row r="181" spans="1:17" x14ac:dyDescent="0.25">
      <c r="A181" s="1">
        <v>180</v>
      </c>
      <c r="B181" s="6"/>
      <c r="D181" s="1" t="e">
        <f t="shared" si="83"/>
        <v>#VALUE!</v>
      </c>
      <c r="E181" s="1" t="e">
        <f t="shared" si="84"/>
        <v>#VALUE!</v>
      </c>
      <c r="F181" s="1" t="e">
        <f>AVERAGE($E$2:E181)</f>
        <v>#VALUE!</v>
      </c>
      <c r="G181" s="1" t="e">
        <f t="shared" si="76"/>
        <v>#VALUE!</v>
      </c>
      <c r="H181" s="1" t="e">
        <f t="shared" si="77"/>
        <v>#VALUE!</v>
      </c>
      <c r="I181" s="1" t="e">
        <f>AVERAGE($D$2:D181)</f>
        <v>#VALUE!</v>
      </c>
      <c r="J181" s="1" t="e">
        <f t="shared" si="78"/>
        <v>#VALUE!</v>
      </c>
      <c r="K181" s="4" t="e" cm="1">
        <f t="array" ref="K181">_xlfn.IFS(J181&gt;60, J181-60, J181&lt;60, J181, J181=60, 0)</f>
        <v>#VALUE!</v>
      </c>
      <c r="L181" s="1" t="e">
        <f t="shared" si="79"/>
        <v>#VALUE!</v>
      </c>
      <c r="M181" s="3" t="e">
        <f t="shared" si="80"/>
        <v>#VALUE!</v>
      </c>
      <c r="N181" s="1" t="e">
        <f t="shared" si="81"/>
        <v>#VALUE!</v>
      </c>
      <c r="O181" s="2" t="str">
        <f t="shared" si="82"/>
        <v/>
      </c>
      <c r="P181" s="1" t="str">
        <f t="shared" si="75"/>
        <v/>
      </c>
      <c r="Q181" s="47" t="str">
        <f>IF(COUNTA(C181)=1,(Table1[[#This Row],[min]]+(Table1[[#This Row],[sec]]/60))/1440, "")</f>
        <v/>
      </c>
    </row>
    <row r="182" spans="1:17" x14ac:dyDescent="0.25">
      <c r="A182" s="1">
        <v>181</v>
      </c>
      <c r="B182" s="6"/>
      <c r="D182" s="1" t="e">
        <f t="shared" si="83"/>
        <v>#VALUE!</v>
      </c>
      <c r="E182" s="1" t="e">
        <f t="shared" si="84"/>
        <v>#VALUE!</v>
      </c>
      <c r="F182" s="1" t="e">
        <f>AVERAGE($E$2:E182)</f>
        <v>#VALUE!</v>
      </c>
      <c r="G182" s="1" t="e">
        <f t="shared" si="76"/>
        <v>#VALUE!</v>
      </c>
      <c r="H182" s="1" t="e">
        <f t="shared" si="77"/>
        <v>#VALUE!</v>
      </c>
      <c r="I182" s="1" t="e">
        <f>AVERAGE($D$2:D182)</f>
        <v>#VALUE!</v>
      </c>
      <c r="J182" s="1" t="e">
        <f t="shared" si="78"/>
        <v>#VALUE!</v>
      </c>
      <c r="K182" s="4" t="e" cm="1">
        <f t="array" ref="K182">_xlfn.IFS(J182&gt;60, J182-60, J182&lt;60, J182, J182=60, 0)</f>
        <v>#VALUE!</v>
      </c>
      <c r="L182" s="1" t="e">
        <f t="shared" si="79"/>
        <v>#VALUE!</v>
      </c>
      <c r="M182" s="3" t="e">
        <f t="shared" si="80"/>
        <v>#VALUE!</v>
      </c>
      <c r="N182" s="1" t="e">
        <f t="shared" si="81"/>
        <v>#VALUE!</v>
      </c>
      <c r="O182" s="2" t="str">
        <f t="shared" si="82"/>
        <v/>
      </c>
      <c r="P182" s="1" t="str">
        <f t="shared" si="75"/>
        <v/>
      </c>
      <c r="Q182" s="47" t="str">
        <f>IF(COUNTA(C182)=1,(Table1[[#This Row],[min]]+(Table1[[#This Row],[sec]]/60))/1440, "")</f>
        <v/>
      </c>
    </row>
    <row r="183" spans="1:17" x14ac:dyDescent="0.25">
      <c r="A183" s="1">
        <v>182</v>
      </c>
      <c r="B183" s="6"/>
      <c r="D183" s="1" t="e">
        <f t="shared" si="83"/>
        <v>#VALUE!</v>
      </c>
      <c r="E183" s="1" t="e">
        <f t="shared" si="84"/>
        <v>#VALUE!</v>
      </c>
      <c r="F183" s="1" t="e">
        <f>AVERAGE($E$2:E183)</f>
        <v>#VALUE!</v>
      </c>
      <c r="G183" s="1" t="e">
        <f t="shared" si="76"/>
        <v>#VALUE!</v>
      </c>
      <c r="H183" s="1" t="e">
        <f t="shared" si="77"/>
        <v>#VALUE!</v>
      </c>
      <c r="I183" s="1" t="e">
        <f>AVERAGE($D$2:D183)</f>
        <v>#VALUE!</v>
      </c>
      <c r="J183" s="1" t="e">
        <f t="shared" si="78"/>
        <v>#VALUE!</v>
      </c>
      <c r="K183" s="4" t="e" cm="1">
        <f t="array" ref="K183">_xlfn.IFS(J183&gt;60, J183-60, J183&lt;60, J183, J183=60, 0)</f>
        <v>#VALUE!</v>
      </c>
      <c r="L183" s="1" t="e">
        <f t="shared" si="79"/>
        <v>#VALUE!</v>
      </c>
      <c r="M183" s="3" t="e">
        <f t="shared" si="80"/>
        <v>#VALUE!</v>
      </c>
      <c r="N183" s="1" t="e">
        <f t="shared" si="81"/>
        <v>#VALUE!</v>
      </c>
      <c r="O183" s="2" t="str">
        <f t="shared" si="82"/>
        <v/>
      </c>
      <c r="P183" s="1" t="str">
        <f t="shared" si="75"/>
        <v/>
      </c>
      <c r="Q183" s="47" t="str">
        <f>IF(COUNTA(C183)=1,(Table1[[#This Row],[min]]+(Table1[[#This Row],[sec]]/60))/1440, "")</f>
        <v/>
      </c>
    </row>
    <row r="184" spans="1:17" x14ac:dyDescent="0.25">
      <c r="A184" s="1">
        <v>183</v>
      </c>
      <c r="B184" s="6"/>
      <c r="D184" s="1" t="e">
        <f t="shared" si="83"/>
        <v>#VALUE!</v>
      </c>
      <c r="E184" s="1" t="e">
        <f t="shared" si="84"/>
        <v>#VALUE!</v>
      </c>
      <c r="F184" s="1" t="e">
        <f>AVERAGE($E$2:E184)</f>
        <v>#VALUE!</v>
      </c>
      <c r="G184" s="1" t="e">
        <f t="shared" si="76"/>
        <v>#VALUE!</v>
      </c>
      <c r="H184" s="1" t="e">
        <f t="shared" si="77"/>
        <v>#VALUE!</v>
      </c>
      <c r="I184" s="1" t="e">
        <f>AVERAGE($D$2:D184)</f>
        <v>#VALUE!</v>
      </c>
      <c r="J184" s="1" t="e">
        <f t="shared" si="78"/>
        <v>#VALUE!</v>
      </c>
      <c r="K184" s="4" t="e" cm="1">
        <f t="array" ref="K184">_xlfn.IFS(J184&gt;60, J184-60, J184&lt;60, J184, J184=60, 0)</f>
        <v>#VALUE!</v>
      </c>
      <c r="L184" s="1" t="e">
        <f t="shared" si="79"/>
        <v>#VALUE!</v>
      </c>
      <c r="M184" s="3" t="e">
        <f t="shared" si="80"/>
        <v>#VALUE!</v>
      </c>
      <c r="N184" s="1" t="e">
        <f t="shared" si="81"/>
        <v>#VALUE!</v>
      </c>
      <c r="O184" s="2" t="str">
        <f t="shared" si="82"/>
        <v/>
      </c>
      <c r="P184" s="1" t="str">
        <f t="shared" si="75"/>
        <v/>
      </c>
      <c r="Q184" s="47" t="str">
        <f>IF(COUNTA(C184)=1,(Table1[[#This Row],[min]]+(Table1[[#This Row],[sec]]/60))/1440, "")</f>
        <v/>
      </c>
    </row>
    <row r="185" spans="1:17" x14ac:dyDescent="0.25">
      <c r="A185" s="1">
        <v>184</v>
      </c>
      <c r="B185" s="6"/>
      <c r="D185" s="1" t="e">
        <f t="shared" si="83"/>
        <v>#VALUE!</v>
      </c>
      <c r="E185" s="1" t="e">
        <f t="shared" si="84"/>
        <v>#VALUE!</v>
      </c>
      <c r="F185" s="1" t="e">
        <f>AVERAGE($E$2:E185)</f>
        <v>#VALUE!</v>
      </c>
      <c r="G185" s="1" t="e">
        <f t="shared" si="76"/>
        <v>#VALUE!</v>
      </c>
      <c r="H185" s="1" t="e">
        <f t="shared" si="77"/>
        <v>#VALUE!</v>
      </c>
      <c r="I185" s="1" t="e">
        <f>AVERAGE($D$2:D185)</f>
        <v>#VALUE!</v>
      </c>
      <c r="J185" s="1" t="e">
        <f t="shared" si="78"/>
        <v>#VALUE!</v>
      </c>
      <c r="K185" s="4" t="e" cm="1">
        <f t="array" ref="K185">_xlfn.IFS(J185&gt;60, J185-60, J185&lt;60, J185, J185=60, 0)</f>
        <v>#VALUE!</v>
      </c>
      <c r="L185" s="1" t="e">
        <f t="shared" si="79"/>
        <v>#VALUE!</v>
      </c>
      <c r="M185" s="3" t="e">
        <f t="shared" si="80"/>
        <v>#VALUE!</v>
      </c>
      <c r="N185" s="1" t="e">
        <f t="shared" si="81"/>
        <v>#VALUE!</v>
      </c>
      <c r="O185" s="2" t="str">
        <f t="shared" si="82"/>
        <v/>
      </c>
      <c r="P185" s="1" t="str">
        <f t="shared" si="75"/>
        <v/>
      </c>
      <c r="Q185" s="47" t="str">
        <f>IF(COUNTA(C185)=1,(Table1[[#This Row],[min]]+(Table1[[#This Row],[sec]]/60))/1440, "")</f>
        <v/>
      </c>
    </row>
    <row r="186" spans="1:17" x14ac:dyDescent="0.25">
      <c r="A186" s="1">
        <v>185</v>
      </c>
      <c r="B186" s="6"/>
      <c r="D186" s="1" t="e">
        <f t="shared" si="83"/>
        <v>#VALUE!</v>
      </c>
      <c r="E186" s="1" t="e">
        <f t="shared" si="84"/>
        <v>#VALUE!</v>
      </c>
      <c r="F186" s="1" t="e">
        <f>AVERAGE($E$2:E186)</f>
        <v>#VALUE!</v>
      </c>
      <c r="G186" s="1" t="e">
        <f t="shared" si="76"/>
        <v>#VALUE!</v>
      </c>
      <c r="H186" s="1" t="e">
        <f t="shared" si="77"/>
        <v>#VALUE!</v>
      </c>
      <c r="I186" s="1" t="e">
        <f>AVERAGE($D$2:D186)</f>
        <v>#VALUE!</v>
      </c>
      <c r="J186" s="1" t="e">
        <f t="shared" si="78"/>
        <v>#VALUE!</v>
      </c>
      <c r="K186" s="4" t="e" cm="1">
        <f t="array" ref="K186">_xlfn.IFS(J186&gt;60, J186-60, J186&lt;60, J186, J186=60, 0)</f>
        <v>#VALUE!</v>
      </c>
      <c r="L186" s="1" t="e">
        <f t="shared" si="79"/>
        <v>#VALUE!</v>
      </c>
      <c r="M186" s="3" t="e">
        <f t="shared" si="80"/>
        <v>#VALUE!</v>
      </c>
      <c r="N186" s="1" t="e">
        <f t="shared" si="81"/>
        <v>#VALUE!</v>
      </c>
      <c r="O186" s="2" t="str">
        <f t="shared" si="82"/>
        <v/>
      </c>
      <c r="P186" s="1" t="str">
        <f t="shared" si="75"/>
        <v/>
      </c>
      <c r="Q186" s="47" t="str">
        <f>IF(COUNTA(C186)=1,(Table1[[#This Row],[min]]+(Table1[[#This Row],[sec]]/60))/1440, "")</f>
        <v/>
      </c>
    </row>
    <row r="187" spans="1:17" x14ac:dyDescent="0.25">
      <c r="A187" s="1">
        <v>186</v>
      </c>
      <c r="B187" s="6"/>
      <c r="D187" s="1" t="e">
        <f t="shared" si="83"/>
        <v>#VALUE!</v>
      </c>
      <c r="E187" s="1" t="e">
        <f t="shared" si="84"/>
        <v>#VALUE!</v>
      </c>
      <c r="F187" s="1" t="e">
        <f>AVERAGE($E$2:E187)</f>
        <v>#VALUE!</v>
      </c>
      <c r="G187" s="1" t="e">
        <f t="shared" si="76"/>
        <v>#VALUE!</v>
      </c>
      <c r="H187" s="1" t="e">
        <f t="shared" si="77"/>
        <v>#VALUE!</v>
      </c>
      <c r="I187" s="1" t="e">
        <f>AVERAGE($D$2:D187)</f>
        <v>#VALUE!</v>
      </c>
      <c r="J187" s="1" t="e">
        <f t="shared" si="78"/>
        <v>#VALUE!</v>
      </c>
      <c r="K187" s="4" t="e" cm="1">
        <f t="array" ref="K187">_xlfn.IFS(J187&gt;60, J187-60, J187&lt;60, J187, J187=60, 0)</f>
        <v>#VALUE!</v>
      </c>
      <c r="L187" s="1" t="e">
        <f t="shared" si="79"/>
        <v>#VALUE!</v>
      </c>
      <c r="M187" s="3" t="e">
        <f t="shared" si="80"/>
        <v>#VALUE!</v>
      </c>
      <c r="N187" s="1" t="e">
        <f t="shared" si="81"/>
        <v>#VALUE!</v>
      </c>
      <c r="O187" s="2" t="str">
        <f t="shared" si="82"/>
        <v/>
      </c>
      <c r="P187" s="1" t="str">
        <f t="shared" si="75"/>
        <v/>
      </c>
      <c r="Q187" s="47" t="str">
        <f>IF(COUNTA(C187)=1,(Table1[[#This Row],[min]]+(Table1[[#This Row],[sec]]/60))/1440, "")</f>
        <v/>
      </c>
    </row>
    <row r="188" spans="1:17" x14ac:dyDescent="0.25">
      <c r="A188" s="1">
        <v>187</v>
      </c>
      <c r="B188" s="6"/>
      <c r="D188" s="1" t="e">
        <f t="shared" si="83"/>
        <v>#VALUE!</v>
      </c>
      <c r="E188" s="1" t="e">
        <f t="shared" si="84"/>
        <v>#VALUE!</v>
      </c>
      <c r="F188" s="1" t="e">
        <f>AVERAGE($E$2:E188)</f>
        <v>#VALUE!</v>
      </c>
      <c r="G188" s="1" t="e">
        <f t="shared" si="76"/>
        <v>#VALUE!</v>
      </c>
      <c r="H188" s="1" t="e">
        <f t="shared" si="77"/>
        <v>#VALUE!</v>
      </c>
      <c r="I188" s="1" t="e">
        <f>AVERAGE($D$2:D188)</f>
        <v>#VALUE!</v>
      </c>
      <c r="J188" s="1" t="e">
        <f t="shared" si="78"/>
        <v>#VALUE!</v>
      </c>
      <c r="K188" s="4" t="e" cm="1">
        <f t="array" ref="K188">_xlfn.IFS(J188&gt;60, J188-60, J188&lt;60, J188, J188=60, 0)</f>
        <v>#VALUE!</v>
      </c>
      <c r="L188" s="1" t="e">
        <f t="shared" si="79"/>
        <v>#VALUE!</v>
      </c>
      <c r="M188" s="3" t="e">
        <f t="shared" si="80"/>
        <v>#VALUE!</v>
      </c>
      <c r="N188" s="1" t="e">
        <f t="shared" si="81"/>
        <v>#VALUE!</v>
      </c>
      <c r="O188" s="2" t="str">
        <f t="shared" si="82"/>
        <v/>
      </c>
      <c r="P188" s="1" t="str">
        <f t="shared" si="75"/>
        <v/>
      </c>
      <c r="Q188" s="47" t="str">
        <f>IF(COUNTA(C188)=1,(Table1[[#This Row],[min]]+(Table1[[#This Row],[sec]]/60))/1440, "")</f>
        <v/>
      </c>
    </row>
    <row r="189" spans="1:17" x14ac:dyDescent="0.25">
      <c r="A189" s="1">
        <v>188</v>
      </c>
      <c r="B189" s="6"/>
      <c r="D189" s="1" t="e">
        <f t="shared" si="83"/>
        <v>#VALUE!</v>
      </c>
      <c r="E189" s="1" t="e">
        <f t="shared" si="84"/>
        <v>#VALUE!</v>
      </c>
      <c r="F189" s="1" t="e">
        <f>AVERAGE($E$2:E189)</f>
        <v>#VALUE!</v>
      </c>
      <c r="G189" s="1" t="e">
        <f t="shared" si="76"/>
        <v>#VALUE!</v>
      </c>
      <c r="H189" s="1" t="e">
        <f t="shared" si="77"/>
        <v>#VALUE!</v>
      </c>
      <c r="I189" s="1" t="e">
        <f>AVERAGE($D$2:D189)</f>
        <v>#VALUE!</v>
      </c>
      <c r="J189" s="1" t="e">
        <f t="shared" si="78"/>
        <v>#VALUE!</v>
      </c>
      <c r="K189" s="4" t="e" cm="1">
        <f t="array" ref="K189">_xlfn.IFS(J189&gt;60, J189-60, J189&lt;60, J189, J189=60, 0)</f>
        <v>#VALUE!</v>
      </c>
      <c r="L189" s="1" t="e">
        <f t="shared" si="79"/>
        <v>#VALUE!</v>
      </c>
      <c r="M189" s="3" t="e">
        <f t="shared" si="80"/>
        <v>#VALUE!</v>
      </c>
      <c r="N189" s="1" t="e">
        <f t="shared" si="81"/>
        <v>#VALUE!</v>
      </c>
      <c r="O189" s="2" t="str">
        <f t="shared" si="82"/>
        <v/>
      </c>
      <c r="P189" s="1" t="str">
        <f t="shared" si="75"/>
        <v/>
      </c>
      <c r="Q189" s="47" t="str">
        <f>IF(COUNTA(C189)=1,(Table1[[#This Row],[min]]+(Table1[[#This Row],[sec]]/60))/1440, "")</f>
        <v/>
      </c>
    </row>
    <row r="190" spans="1:17" x14ac:dyDescent="0.25">
      <c r="A190" s="1">
        <v>189</v>
      </c>
      <c r="B190" s="6"/>
      <c r="D190" s="1" t="e">
        <f t="shared" si="83"/>
        <v>#VALUE!</v>
      </c>
      <c r="E190" s="1" t="e">
        <f t="shared" si="84"/>
        <v>#VALUE!</v>
      </c>
      <c r="F190" s="1" t="e">
        <f>AVERAGE($E$2:E190)</f>
        <v>#VALUE!</v>
      </c>
      <c r="G190" s="1" t="e">
        <f t="shared" si="76"/>
        <v>#VALUE!</v>
      </c>
      <c r="H190" s="1" t="e">
        <f t="shared" si="77"/>
        <v>#VALUE!</v>
      </c>
      <c r="I190" s="1" t="e">
        <f>AVERAGE($D$2:D190)</f>
        <v>#VALUE!</v>
      </c>
      <c r="J190" s="1" t="e">
        <f t="shared" si="78"/>
        <v>#VALUE!</v>
      </c>
      <c r="K190" s="4" t="e" cm="1">
        <f t="array" ref="K190">_xlfn.IFS(J190&gt;60, J190-60, J190&lt;60, J190, J190=60, 0)</f>
        <v>#VALUE!</v>
      </c>
      <c r="L190" s="1" t="e">
        <f t="shared" si="79"/>
        <v>#VALUE!</v>
      </c>
      <c r="M190" s="3" t="e">
        <f t="shared" si="80"/>
        <v>#VALUE!</v>
      </c>
      <c r="N190" s="1" t="e">
        <f t="shared" si="81"/>
        <v>#VALUE!</v>
      </c>
      <c r="O190" s="2" t="str">
        <f t="shared" si="82"/>
        <v/>
      </c>
      <c r="P190" s="1" t="str">
        <f t="shared" si="75"/>
        <v/>
      </c>
      <c r="Q190" s="47" t="str">
        <f>IF(COUNTA(C190)=1,(Table1[[#This Row],[min]]+(Table1[[#This Row],[sec]]/60))/1440, "")</f>
        <v/>
      </c>
    </row>
    <row r="191" spans="1:17" x14ac:dyDescent="0.25">
      <c r="A191" s="1">
        <v>190</v>
      </c>
      <c r="B191" s="6"/>
      <c r="D191" s="1" t="e">
        <f t="shared" si="83"/>
        <v>#VALUE!</v>
      </c>
      <c r="E191" s="1" t="e">
        <f t="shared" si="84"/>
        <v>#VALUE!</v>
      </c>
      <c r="F191" s="1" t="e">
        <f>AVERAGE($E$2:E191)</f>
        <v>#VALUE!</v>
      </c>
      <c r="G191" s="1" t="e">
        <f t="shared" si="76"/>
        <v>#VALUE!</v>
      </c>
      <c r="H191" s="1" t="e">
        <f t="shared" si="77"/>
        <v>#VALUE!</v>
      </c>
      <c r="I191" s="1" t="e">
        <f>AVERAGE($D$2:D191)</f>
        <v>#VALUE!</v>
      </c>
      <c r="J191" s="1" t="e">
        <f t="shared" si="78"/>
        <v>#VALUE!</v>
      </c>
      <c r="K191" s="4" t="e" cm="1">
        <f t="array" ref="K191">_xlfn.IFS(J191&gt;60, J191-60, J191&lt;60, J191, J191=60, 0)</f>
        <v>#VALUE!</v>
      </c>
      <c r="L191" s="1" t="e">
        <f t="shared" si="79"/>
        <v>#VALUE!</v>
      </c>
      <c r="M191" s="3" t="e">
        <f t="shared" si="80"/>
        <v>#VALUE!</v>
      </c>
      <c r="N191" s="1" t="e">
        <f t="shared" si="81"/>
        <v>#VALUE!</v>
      </c>
      <c r="O191" s="2" t="str">
        <f t="shared" si="82"/>
        <v/>
      </c>
      <c r="P191" s="1" t="str">
        <f t="shared" si="75"/>
        <v/>
      </c>
      <c r="Q191" s="47" t="str">
        <f>IF(COUNTA(C191)=1,(Table1[[#This Row],[min]]+(Table1[[#This Row],[sec]]/60))/1440, "")</f>
        <v/>
      </c>
    </row>
    <row r="192" spans="1:17" x14ac:dyDescent="0.25">
      <c r="A192" s="1">
        <v>191</v>
      </c>
      <c r="B192" s="6"/>
      <c r="D192" s="1" t="e">
        <f t="shared" si="83"/>
        <v>#VALUE!</v>
      </c>
      <c r="E192" s="1" t="e">
        <f t="shared" si="84"/>
        <v>#VALUE!</v>
      </c>
      <c r="F192" s="1" t="e">
        <f>AVERAGE($E$2:E192)</f>
        <v>#VALUE!</v>
      </c>
      <c r="G192" s="1" t="e">
        <f t="shared" si="76"/>
        <v>#VALUE!</v>
      </c>
      <c r="H192" s="1" t="e">
        <f t="shared" si="77"/>
        <v>#VALUE!</v>
      </c>
      <c r="I192" s="1" t="e">
        <f>AVERAGE($D$2:D192)</f>
        <v>#VALUE!</v>
      </c>
      <c r="J192" s="1" t="e">
        <f t="shared" si="78"/>
        <v>#VALUE!</v>
      </c>
      <c r="K192" s="4" t="e" cm="1">
        <f t="array" ref="K192">_xlfn.IFS(J192&gt;60, J192-60, J192&lt;60, J192, J192=60, 0)</f>
        <v>#VALUE!</v>
      </c>
      <c r="L192" s="1" t="e">
        <f t="shared" si="79"/>
        <v>#VALUE!</v>
      </c>
      <c r="M192" s="3" t="e">
        <f t="shared" si="80"/>
        <v>#VALUE!</v>
      </c>
      <c r="N192" s="1" t="e">
        <f t="shared" si="81"/>
        <v>#VALUE!</v>
      </c>
      <c r="O192" s="2" t="str">
        <f t="shared" si="82"/>
        <v/>
      </c>
      <c r="P192" s="1" t="str">
        <f t="shared" si="75"/>
        <v/>
      </c>
      <c r="Q192" s="47" t="str">
        <f>IF(COUNTA(C192)=1,(Table1[[#This Row],[min]]+(Table1[[#This Row],[sec]]/60))/1440, "")</f>
        <v/>
      </c>
    </row>
    <row r="193" spans="1:17" x14ac:dyDescent="0.25">
      <c r="A193" s="1">
        <v>192</v>
      </c>
      <c r="B193" s="6"/>
      <c r="D193" s="1" t="e">
        <f t="shared" si="83"/>
        <v>#VALUE!</v>
      </c>
      <c r="E193" s="1" t="e">
        <f t="shared" si="84"/>
        <v>#VALUE!</v>
      </c>
      <c r="F193" s="1" t="e">
        <f>AVERAGE($E$2:E193)</f>
        <v>#VALUE!</v>
      </c>
      <c r="G193" s="1" t="e">
        <f t="shared" si="76"/>
        <v>#VALUE!</v>
      </c>
      <c r="H193" s="1" t="e">
        <f t="shared" si="77"/>
        <v>#VALUE!</v>
      </c>
      <c r="I193" s="1" t="e">
        <f>AVERAGE($D$2:D193)</f>
        <v>#VALUE!</v>
      </c>
      <c r="J193" s="1" t="e">
        <f t="shared" si="78"/>
        <v>#VALUE!</v>
      </c>
      <c r="K193" s="4" t="e" cm="1">
        <f t="array" ref="K193">_xlfn.IFS(J193&gt;60, J193-60, J193&lt;60, J193, J193=60, 0)</f>
        <v>#VALUE!</v>
      </c>
      <c r="L193" s="1" t="e">
        <f t="shared" si="79"/>
        <v>#VALUE!</v>
      </c>
      <c r="M193" s="3" t="e">
        <f t="shared" si="80"/>
        <v>#VALUE!</v>
      </c>
      <c r="N193" s="1" t="e">
        <f t="shared" si="81"/>
        <v>#VALUE!</v>
      </c>
      <c r="O193" s="2" t="str">
        <f t="shared" si="82"/>
        <v/>
      </c>
      <c r="P193" s="1" t="str">
        <f t="shared" si="75"/>
        <v/>
      </c>
      <c r="Q193" s="47" t="str">
        <f>IF(COUNTA(C193)=1,(Table1[[#This Row],[min]]+(Table1[[#This Row],[sec]]/60))/1440, "")</f>
        <v/>
      </c>
    </row>
    <row r="194" spans="1:17" x14ac:dyDescent="0.25">
      <c r="A194" s="1">
        <v>193</v>
      </c>
      <c r="B194" s="6"/>
      <c r="D194" s="1" t="e">
        <f t="shared" si="83"/>
        <v>#VALUE!</v>
      </c>
      <c r="E194" s="1" t="e">
        <f t="shared" si="84"/>
        <v>#VALUE!</v>
      </c>
      <c r="F194" s="1" t="e">
        <f>AVERAGE($E$2:E194)</f>
        <v>#VALUE!</v>
      </c>
      <c r="G194" s="1" t="e">
        <f t="shared" si="76"/>
        <v>#VALUE!</v>
      </c>
      <c r="H194" s="1" t="e">
        <f t="shared" si="77"/>
        <v>#VALUE!</v>
      </c>
      <c r="I194" s="1" t="e">
        <f>AVERAGE($D$2:D194)</f>
        <v>#VALUE!</v>
      </c>
      <c r="J194" s="1" t="e">
        <f t="shared" si="78"/>
        <v>#VALUE!</v>
      </c>
      <c r="K194" s="4" t="e" cm="1">
        <f t="array" ref="K194">_xlfn.IFS(J194&gt;60, J194-60, J194&lt;60, J194, J194=60, 0)</f>
        <v>#VALUE!</v>
      </c>
      <c r="L194" s="1" t="e">
        <f t="shared" si="79"/>
        <v>#VALUE!</v>
      </c>
      <c r="M194" s="3" t="e">
        <f t="shared" si="80"/>
        <v>#VALUE!</v>
      </c>
      <c r="N194" s="1" t="e">
        <f t="shared" si="81"/>
        <v>#VALUE!</v>
      </c>
      <c r="O194" s="2" t="str">
        <f t="shared" si="82"/>
        <v/>
      </c>
      <c r="P194" s="1" t="str">
        <f t="shared" si="75"/>
        <v/>
      </c>
      <c r="Q194" s="47" t="str">
        <f>IF(COUNTA(C194)=1,(Table1[[#This Row],[min]]+(Table1[[#This Row],[sec]]/60))/1440, "")</f>
        <v/>
      </c>
    </row>
    <row r="195" spans="1:17" x14ac:dyDescent="0.25">
      <c r="A195" s="1">
        <v>194</v>
      </c>
      <c r="B195" s="6"/>
      <c r="D195" s="1" t="e">
        <f t="shared" si="83"/>
        <v>#VALUE!</v>
      </c>
      <c r="E195" s="1" t="e">
        <f t="shared" si="84"/>
        <v>#VALUE!</v>
      </c>
      <c r="F195" s="1" t="e">
        <f>AVERAGE($E$2:E195)</f>
        <v>#VALUE!</v>
      </c>
      <c r="G195" s="1" t="e">
        <f t="shared" si="76"/>
        <v>#VALUE!</v>
      </c>
      <c r="H195" s="1" t="e">
        <f t="shared" si="77"/>
        <v>#VALUE!</v>
      </c>
      <c r="I195" s="1" t="e">
        <f>AVERAGE($D$2:D195)</f>
        <v>#VALUE!</v>
      </c>
      <c r="J195" s="1" t="e">
        <f t="shared" si="78"/>
        <v>#VALUE!</v>
      </c>
      <c r="K195" s="4" t="e" cm="1">
        <f t="array" ref="K195">_xlfn.IFS(J195&gt;60, J195-60, J195&lt;60, J195, J195=60, 0)</f>
        <v>#VALUE!</v>
      </c>
      <c r="L195" s="1" t="e">
        <f t="shared" si="79"/>
        <v>#VALUE!</v>
      </c>
      <c r="M195" s="3" t="e">
        <f t="shared" si="80"/>
        <v>#VALUE!</v>
      </c>
      <c r="N195" s="1" t="e">
        <f t="shared" si="81"/>
        <v>#VALUE!</v>
      </c>
      <c r="O195" s="2" t="str">
        <f t="shared" si="82"/>
        <v/>
      </c>
      <c r="P195" s="1" t="str">
        <f t="shared" si="75"/>
        <v/>
      </c>
      <c r="Q195" s="47" t="str">
        <f>IF(COUNTA(C195)=1,(Table1[[#This Row],[min]]+(Table1[[#This Row],[sec]]/60))/1440, "")</f>
        <v/>
      </c>
    </row>
    <row r="196" spans="1:17" x14ac:dyDescent="0.25">
      <c r="A196" s="1">
        <v>195</v>
      </c>
      <c r="B196" s="6"/>
      <c r="D196" s="1" t="e">
        <f t="shared" si="83"/>
        <v>#VALUE!</v>
      </c>
      <c r="E196" s="1" t="e">
        <f t="shared" si="84"/>
        <v>#VALUE!</v>
      </c>
      <c r="F196" s="1" t="e">
        <f>AVERAGE($E$2:E196)</f>
        <v>#VALUE!</v>
      </c>
      <c r="G196" s="1" t="e">
        <f t="shared" si="76"/>
        <v>#VALUE!</v>
      </c>
      <c r="H196" s="1" t="e">
        <f t="shared" si="77"/>
        <v>#VALUE!</v>
      </c>
      <c r="I196" s="1" t="e">
        <f>AVERAGE($D$2:D196)</f>
        <v>#VALUE!</v>
      </c>
      <c r="J196" s="1" t="e">
        <f t="shared" si="78"/>
        <v>#VALUE!</v>
      </c>
      <c r="K196" s="4" t="e" cm="1">
        <f t="array" ref="K196">_xlfn.IFS(J196&gt;60, J196-60, J196&lt;60, J196, J196=60, 0)</f>
        <v>#VALUE!</v>
      </c>
      <c r="L196" s="1" t="e">
        <f t="shared" si="79"/>
        <v>#VALUE!</v>
      </c>
      <c r="M196" s="3" t="e">
        <f t="shared" si="80"/>
        <v>#VALUE!</v>
      </c>
      <c r="N196" s="1" t="e">
        <f t="shared" si="81"/>
        <v>#VALUE!</v>
      </c>
      <c r="O196" s="2" t="str">
        <f t="shared" si="82"/>
        <v/>
      </c>
      <c r="P196" s="1" t="str">
        <f t="shared" si="75"/>
        <v/>
      </c>
      <c r="Q196" s="47" t="str">
        <f>IF(COUNTA(C196)=1,(Table1[[#This Row],[min]]+(Table1[[#This Row],[sec]]/60))/1440, "")</f>
        <v/>
      </c>
    </row>
    <row r="197" spans="1:17" x14ac:dyDescent="0.25">
      <c r="A197" s="1">
        <v>196</v>
      </c>
      <c r="B197" s="6"/>
      <c r="D197" s="1" t="e">
        <f t="shared" si="83"/>
        <v>#VALUE!</v>
      </c>
      <c r="E197" s="1" t="e">
        <f t="shared" si="84"/>
        <v>#VALUE!</v>
      </c>
      <c r="F197" s="1" t="e">
        <f>AVERAGE($E$2:E197)</f>
        <v>#VALUE!</v>
      </c>
      <c r="G197" s="1" t="e">
        <f t="shared" si="76"/>
        <v>#VALUE!</v>
      </c>
      <c r="H197" s="1" t="e">
        <f t="shared" si="77"/>
        <v>#VALUE!</v>
      </c>
      <c r="I197" s="1" t="e">
        <f>AVERAGE($D$2:D197)</f>
        <v>#VALUE!</v>
      </c>
      <c r="J197" s="1" t="e">
        <f t="shared" si="78"/>
        <v>#VALUE!</v>
      </c>
      <c r="K197" s="4" t="e" cm="1">
        <f t="array" ref="K197">_xlfn.IFS(J197&gt;60, J197-60, J197&lt;60, J197, J197=60, 0)</f>
        <v>#VALUE!</v>
      </c>
      <c r="L197" s="1" t="e">
        <f t="shared" si="79"/>
        <v>#VALUE!</v>
      </c>
      <c r="M197" s="3" t="e">
        <f t="shared" si="80"/>
        <v>#VALUE!</v>
      </c>
      <c r="N197" s="1" t="e">
        <f t="shared" si="81"/>
        <v>#VALUE!</v>
      </c>
      <c r="O197" s="2" t="str">
        <f t="shared" si="82"/>
        <v/>
      </c>
      <c r="P197" s="1" t="str">
        <f t="shared" si="75"/>
        <v/>
      </c>
      <c r="Q197" s="47" t="str">
        <f>IF(COUNTA(C197)=1,(Table1[[#This Row],[min]]+(Table1[[#This Row],[sec]]/60))/1440, "")</f>
        <v/>
      </c>
    </row>
    <row r="198" spans="1:17" x14ac:dyDescent="0.25">
      <c r="A198" s="1">
        <v>197</v>
      </c>
      <c r="B198" s="6"/>
      <c r="D198" s="1" t="e">
        <f t="shared" si="83"/>
        <v>#VALUE!</v>
      </c>
      <c r="E198" s="1" t="e">
        <f t="shared" si="84"/>
        <v>#VALUE!</v>
      </c>
      <c r="F198" s="1" t="e">
        <f>AVERAGE($E$2:E198)</f>
        <v>#VALUE!</v>
      </c>
      <c r="G198" s="1" t="e">
        <f t="shared" si="76"/>
        <v>#VALUE!</v>
      </c>
      <c r="H198" s="1" t="e">
        <f t="shared" si="77"/>
        <v>#VALUE!</v>
      </c>
      <c r="I198" s="1" t="e">
        <f>AVERAGE($D$2:D198)</f>
        <v>#VALUE!</v>
      </c>
      <c r="J198" s="1" t="e">
        <f t="shared" si="78"/>
        <v>#VALUE!</v>
      </c>
      <c r="K198" s="4" t="e" cm="1">
        <f t="array" ref="K198">_xlfn.IFS(J198&gt;60, J198-60, J198&lt;60, J198, J198=60, 0)</f>
        <v>#VALUE!</v>
      </c>
      <c r="L198" s="1" t="e">
        <f t="shared" si="79"/>
        <v>#VALUE!</v>
      </c>
      <c r="M198" s="3" t="e">
        <f t="shared" si="80"/>
        <v>#VALUE!</v>
      </c>
      <c r="N198" s="1" t="e">
        <f t="shared" si="81"/>
        <v>#VALUE!</v>
      </c>
      <c r="O198" s="2" t="str">
        <f t="shared" si="82"/>
        <v/>
      </c>
      <c r="P198" s="1" t="str">
        <f t="shared" si="75"/>
        <v/>
      </c>
      <c r="Q198" s="47" t="str">
        <f>IF(COUNTA(C198)=1,(Table1[[#This Row],[min]]+(Table1[[#This Row],[sec]]/60))/1440, "")</f>
        <v/>
      </c>
    </row>
    <row r="199" spans="1:17" x14ac:dyDescent="0.25">
      <c r="A199" s="1">
        <v>198</v>
      </c>
      <c r="B199" s="6"/>
      <c r="D199" s="1" t="e">
        <f t="shared" si="83"/>
        <v>#VALUE!</v>
      </c>
      <c r="E199" s="1" t="e">
        <f t="shared" si="84"/>
        <v>#VALUE!</v>
      </c>
      <c r="F199" s="1" t="e">
        <f>AVERAGE($E$2:E199)</f>
        <v>#VALUE!</v>
      </c>
      <c r="G199" s="1" t="e">
        <f t="shared" si="76"/>
        <v>#VALUE!</v>
      </c>
      <c r="H199" s="1" t="e">
        <f t="shared" si="77"/>
        <v>#VALUE!</v>
      </c>
      <c r="I199" s="1" t="e">
        <f>AVERAGE($D$2:D199)</f>
        <v>#VALUE!</v>
      </c>
      <c r="J199" s="1" t="e">
        <f t="shared" si="78"/>
        <v>#VALUE!</v>
      </c>
      <c r="K199" s="4" t="e" cm="1">
        <f t="array" ref="K199">_xlfn.IFS(J199&gt;60, J199-60, J199&lt;60, J199, J199=60, 0)</f>
        <v>#VALUE!</v>
      </c>
      <c r="L199" s="1" t="e">
        <f t="shared" si="79"/>
        <v>#VALUE!</v>
      </c>
      <c r="M199" s="3" t="e">
        <f t="shared" si="80"/>
        <v>#VALUE!</v>
      </c>
      <c r="N199" s="1" t="e">
        <f t="shared" si="81"/>
        <v>#VALUE!</v>
      </c>
      <c r="O199" s="2" t="str">
        <f t="shared" si="82"/>
        <v/>
      </c>
      <c r="P199" s="1" t="str">
        <f t="shared" si="75"/>
        <v/>
      </c>
      <c r="Q199" s="47" t="str">
        <f>IF(COUNTA(C199)=1,(Table1[[#This Row],[min]]+(Table1[[#This Row],[sec]]/60))/1440, "")</f>
        <v/>
      </c>
    </row>
    <row r="200" spans="1:17" x14ac:dyDescent="0.25">
      <c r="A200" s="1">
        <v>199</v>
      </c>
      <c r="B200" s="6"/>
      <c r="D200" s="1" t="e">
        <f t="shared" si="83"/>
        <v>#VALUE!</v>
      </c>
      <c r="E200" s="1" t="e">
        <f t="shared" si="84"/>
        <v>#VALUE!</v>
      </c>
      <c r="F200" s="1" t="e">
        <f>AVERAGE($E$2:E200)</f>
        <v>#VALUE!</v>
      </c>
      <c r="G200" s="1" t="e">
        <f t="shared" si="76"/>
        <v>#VALUE!</v>
      </c>
      <c r="H200" s="1" t="e">
        <f t="shared" si="77"/>
        <v>#VALUE!</v>
      </c>
      <c r="I200" s="1" t="e">
        <f>AVERAGE($D$2:D200)</f>
        <v>#VALUE!</v>
      </c>
      <c r="J200" s="1" t="e">
        <f t="shared" si="78"/>
        <v>#VALUE!</v>
      </c>
      <c r="K200" s="4" t="e" cm="1">
        <f t="array" ref="K200">_xlfn.IFS(J200&gt;60, J200-60, J200&lt;60, J200, J200=60, 0)</f>
        <v>#VALUE!</v>
      </c>
      <c r="L200" s="1" t="e">
        <f t="shared" si="79"/>
        <v>#VALUE!</v>
      </c>
      <c r="M200" s="3" t="e">
        <f t="shared" si="80"/>
        <v>#VALUE!</v>
      </c>
      <c r="N200" s="1" t="e">
        <f t="shared" si="81"/>
        <v>#VALUE!</v>
      </c>
      <c r="O200" s="2" t="str">
        <f t="shared" si="82"/>
        <v/>
      </c>
      <c r="P200" s="1" t="str">
        <f t="shared" si="75"/>
        <v/>
      </c>
      <c r="Q200" s="47" t="str">
        <f>IF(COUNTA(C200)=1,(Table1[[#This Row],[min]]+(Table1[[#This Row],[sec]]/60))/1440, "")</f>
        <v/>
      </c>
    </row>
    <row r="201" spans="1:17" x14ac:dyDescent="0.25">
      <c r="A201" s="1">
        <v>200</v>
      </c>
      <c r="B201" s="6"/>
      <c r="D201" s="1" t="e">
        <f t="shared" si="83"/>
        <v>#VALUE!</v>
      </c>
      <c r="E201" s="1" t="e">
        <f t="shared" si="84"/>
        <v>#VALUE!</v>
      </c>
      <c r="F201" s="1" t="e">
        <f>AVERAGE($E$2:E201)</f>
        <v>#VALUE!</v>
      </c>
      <c r="G201" s="1" t="e">
        <f t="shared" si="76"/>
        <v>#VALUE!</v>
      </c>
      <c r="H201" s="1" t="e">
        <f t="shared" si="77"/>
        <v>#VALUE!</v>
      </c>
      <c r="I201" s="1" t="e">
        <f>AVERAGE($D$2:D201)</f>
        <v>#VALUE!</v>
      </c>
      <c r="J201" s="1" t="e">
        <f t="shared" si="78"/>
        <v>#VALUE!</v>
      </c>
      <c r="K201" s="4" t="e" cm="1">
        <f t="array" ref="K201">_xlfn.IFS(J201&gt;60, J201-60, J201&lt;60, J201, J201=60, 0)</f>
        <v>#VALUE!</v>
      </c>
      <c r="L201" s="1" t="e">
        <f t="shared" si="79"/>
        <v>#VALUE!</v>
      </c>
      <c r="M201" s="3" t="e">
        <f t="shared" si="80"/>
        <v>#VALUE!</v>
      </c>
      <c r="N201" s="1" t="e">
        <f t="shared" si="81"/>
        <v>#VALUE!</v>
      </c>
      <c r="O201" s="2" t="str">
        <f t="shared" si="82"/>
        <v/>
      </c>
      <c r="P201" s="1" t="str">
        <f t="shared" si="75"/>
        <v/>
      </c>
      <c r="Q201" s="47" t="str">
        <f>IF(COUNTA(C201)=1,(Table1[[#This Row],[min]]+(Table1[[#This Row],[sec]]/60))/1440, "")</f>
        <v/>
      </c>
    </row>
    <row r="202" spans="1:17" x14ac:dyDescent="0.25">
      <c r="A202" s="1">
        <v>201</v>
      </c>
      <c r="B202" s="6"/>
      <c r="D202" s="1" t="e">
        <f t="shared" si="83"/>
        <v>#VALUE!</v>
      </c>
      <c r="E202" s="1" t="e">
        <f t="shared" si="84"/>
        <v>#VALUE!</v>
      </c>
      <c r="F202" s="1" t="e">
        <f>AVERAGE($E$2:E202)</f>
        <v>#VALUE!</v>
      </c>
      <c r="G202" s="1" t="e">
        <f t="shared" si="76"/>
        <v>#VALUE!</v>
      </c>
      <c r="H202" s="1" t="e">
        <f t="shared" si="77"/>
        <v>#VALUE!</v>
      </c>
      <c r="I202" s="1" t="e">
        <f>AVERAGE($D$2:D202)</f>
        <v>#VALUE!</v>
      </c>
      <c r="J202" s="1" t="e">
        <f t="shared" si="78"/>
        <v>#VALUE!</v>
      </c>
      <c r="K202" s="4" t="e" cm="1">
        <f t="array" ref="K202">_xlfn.IFS(J202&gt;60, J202-60, J202&lt;60, J202, J202=60, 0)</f>
        <v>#VALUE!</v>
      </c>
      <c r="L202" s="1" t="e">
        <f t="shared" si="79"/>
        <v>#VALUE!</v>
      </c>
      <c r="M202" s="3" t="e">
        <f t="shared" si="80"/>
        <v>#VALUE!</v>
      </c>
      <c r="N202" s="1" t="e">
        <f t="shared" si="81"/>
        <v>#VALUE!</v>
      </c>
      <c r="O202" s="2" t="str">
        <f t="shared" si="82"/>
        <v/>
      </c>
      <c r="P202" s="1" t="str">
        <f t="shared" si="75"/>
        <v/>
      </c>
      <c r="Q202" s="47" t="str">
        <f>IF(COUNTA(C202)=1,(Table1[[#This Row],[min]]+(Table1[[#This Row],[sec]]/60))/1440, "")</f>
        <v/>
      </c>
    </row>
    <row r="203" spans="1:17" x14ac:dyDescent="0.25">
      <c r="A203" s="1">
        <v>202</v>
      </c>
      <c r="B203" s="6"/>
      <c r="D203" s="1" t="e">
        <f t="shared" si="83"/>
        <v>#VALUE!</v>
      </c>
      <c r="E203" s="1" t="e">
        <f t="shared" si="84"/>
        <v>#VALUE!</v>
      </c>
      <c r="F203" s="1" t="e">
        <f>AVERAGE($E$2:E203)</f>
        <v>#VALUE!</v>
      </c>
      <c r="G203" s="1" t="e">
        <f t="shared" si="76"/>
        <v>#VALUE!</v>
      </c>
      <c r="H203" s="1" t="e">
        <f t="shared" si="77"/>
        <v>#VALUE!</v>
      </c>
      <c r="I203" s="1" t="e">
        <f>AVERAGE($D$2:D203)</f>
        <v>#VALUE!</v>
      </c>
      <c r="J203" s="1" t="e">
        <f t="shared" si="78"/>
        <v>#VALUE!</v>
      </c>
      <c r="K203" s="4" t="e" cm="1">
        <f t="array" ref="K203">_xlfn.IFS(J203&gt;60, J203-60, J203&lt;60, J203, J203=60, 0)</f>
        <v>#VALUE!</v>
      </c>
      <c r="L203" s="1" t="e">
        <f t="shared" si="79"/>
        <v>#VALUE!</v>
      </c>
      <c r="M203" s="3" t="e">
        <f t="shared" si="80"/>
        <v>#VALUE!</v>
      </c>
      <c r="N203" s="1" t="e">
        <f t="shared" si="81"/>
        <v>#VALUE!</v>
      </c>
      <c r="O203" s="2" t="str">
        <f t="shared" si="82"/>
        <v/>
      </c>
      <c r="P203" s="1" t="str">
        <f t="shared" si="75"/>
        <v/>
      </c>
      <c r="Q203" s="47" t="str">
        <f>IF(COUNTA(C203)=1,(Table1[[#This Row],[min]]+(Table1[[#This Row],[sec]]/60))/1440, "")</f>
        <v/>
      </c>
    </row>
    <row r="204" spans="1:17" x14ac:dyDescent="0.25">
      <c r="A204" s="1">
        <v>203</v>
      </c>
      <c r="B204" s="6"/>
      <c r="D204" s="1" t="e">
        <f t="shared" si="83"/>
        <v>#VALUE!</v>
      </c>
      <c r="E204" s="1" t="e">
        <f t="shared" si="84"/>
        <v>#VALUE!</v>
      </c>
      <c r="F204" s="1" t="e">
        <f>AVERAGE($E$2:E204)</f>
        <v>#VALUE!</v>
      </c>
      <c r="G204" s="1" t="e">
        <f t="shared" si="76"/>
        <v>#VALUE!</v>
      </c>
      <c r="H204" s="1" t="e">
        <f t="shared" si="77"/>
        <v>#VALUE!</v>
      </c>
      <c r="I204" s="1" t="e">
        <f>AVERAGE($D$2:D204)</f>
        <v>#VALUE!</v>
      </c>
      <c r="J204" s="1" t="e">
        <f t="shared" si="78"/>
        <v>#VALUE!</v>
      </c>
      <c r="K204" s="4" t="e" cm="1">
        <f t="array" ref="K204">_xlfn.IFS(J204&gt;60, J204-60, J204&lt;60, J204, J204=60, 0)</f>
        <v>#VALUE!</v>
      </c>
      <c r="L204" s="1" t="e">
        <f t="shared" si="79"/>
        <v>#VALUE!</v>
      </c>
      <c r="M204" s="3" t="e">
        <f t="shared" si="80"/>
        <v>#VALUE!</v>
      </c>
      <c r="N204" s="1" t="e">
        <f t="shared" si="81"/>
        <v>#VALUE!</v>
      </c>
      <c r="O204" s="2" t="str">
        <f t="shared" si="82"/>
        <v/>
      </c>
      <c r="P204" s="1" t="str">
        <f t="shared" si="75"/>
        <v/>
      </c>
      <c r="Q204" s="47" t="str">
        <f>IF(COUNTA(C204)=1,(Table1[[#This Row],[min]]+(Table1[[#This Row],[sec]]/60))/1440, "")</f>
        <v/>
      </c>
    </row>
    <row r="205" spans="1:17" x14ac:dyDescent="0.25">
      <c r="A205" s="1">
        <v>204</v>
      </c>
      <c r="B205" s="6"/>
      <c r="D205" s="1" t="e">
        <f t="shared" si="83"/>
        <v>#VALUE!</v>
      </c>
      <c r="E205" s="1" t="e">
        <f t="shared" si="84"/>
        <v>#VALUE!</v>
      </c>
      <c r="F205" s="1" t="e">
        <f>AVERAGE($E$2:E205)</f>
        <v>#VALUE!</v>
      </c>
      <c r="G205" s="1" t="e">
        <f t="shared" si="76"/>
        <v>#VALUE!</v>
      </c>
      <c r="H205" s="1" t="e">
        <f t="shared" si="77"/>
        <v>#VALUE!</v>
      </c>
      <c r="I205" s="1" t="e">
        <f>AVERAGE($D$2:D205)</f>
        <v>#VALUE!</v>
      </c>
      <c r="J205" s="1" t="e">
        <f t="shared" si="78"/>
        <v>#VALUE!</v>
      </c>
      <c r="K205" s="4" t="e" cm="1">
        <f t="array" ref="K205">_xlfn.IFS(J205&gt;60, J205-60, J205&lt;60, J205, J205=60, 0)</f>
        <v>#VALUE!</v>
      </c>
      <c r="L205" s="1" t="e">
        <f t="shared" si="79"/>
        <v>#VALUE!</v>
      </c>
      <c r="M205" s="3" t="e">
        <f t="shared" si="80"/>
        <v>#VALUE!</v>
      </c>
      <c r="N205" s="1" t="e">
        <f t="shared" si="81"/>
        <v>#VALUE!</v>
      </c>
      <c r="O205" s="2" t="str">
        <f t="shared" si="82"/>
        <v/>
      </c>
      <c r="P205" s="1" t="str">
        <f t="shared" si="75"/>
        <v/>
      </c>
      <c r="Q205" s="47" t="str">
        <f>IF(COUNTA(C205)=1,(Table1[[#This Row],[min]]+(Table1[[#This Row],[sec]]/60))/1440, "")</f>
        <v/>
      </c>
    </row>
    <row r="206" spans="1:17" x14ac:dyDescent="0.25">
      <c r="A206" s="1">
        <v>205</v>
      </c>
      <c r="B206" s="6"/>
      <c r="D206" s="1" t="e">
        <f t="shared" si="83"/>
        <v>#VALUE!</v>
      </c>
      <c r="E206" s="1" t="e">
        <f t="shared" si="84"/>
        <v>#VALUE!</v>
      </c>
      <c r="F206" s="1" t="e">
        <f>AVERAGE($E$2:E206)</f>
        <v>#VALUE!</v>
      </c>
      <c r="G206" s="1" t="e">
        <f t="shared" si="76"/>
        <v>#VALUE!</v>
      </c>
      <c r="H206" s="1" t="e">
        <f t="shared" si="77"/>
        <v>#VALUE!</v>
      </c>
      <c r="I206" s="1" t="e">
        <f>AVERAGE($D$2:D206)</f>
        <v>#VALUE!</v>
      </c>
      <c r="J206" s="1" t="e">
        <f t="shared" si="78"/>
        <v>#VALUE!</v>
      </c>
      <c r="K206" s="4" t="e" cm="1">
        <f t="array" ref="K206">_xlfn.IFS(J206&gt;60, J206-60, J206&lt;60, J206, J206=60, 0)</f>
        <v>#VALUE!</v>
      </c>
      <c r="L206" s="1" t="e">
        <f t="shared" si="79"/>
        <v>#VALUE!</v>
      </c>
      <c r="M206" s="3" t="e">
        <f t="shared" si="80"/>
        <v>#VALUE!</v>
      </c>
      <c r="N206" s="1" t="e">
        <f t="shared" si="81"/>
        <v>#VALUE!</v>
      </c>
      <c r="O206" s="2" t="str">
        <f t="shared" si="82"/>
        <v/>
      </c>
      <c r="P206" s="1" t="str">
        <f t="shared" si="75"/>
        <v/>
      </c>
      <c r="Q206" s="47" t="str">
        <f>IF(COUNTA(C206)=1,(Table1[[#This Row],[min]]+(Table1[[#This Row],[sec]]/60))/1440, "")</f>
        <v/>
      </c>
    </row>
    <row r="207" spans="1:17" x14ac:dyDescent="0.25">
      <c r="A207" s="1">
        <v>206</v>
      </c>
      <c r="B207" s="6"/>
      <c r="D207" s="1" t="e">
        <f t="shared" si="83"/>
        <v>#VALUE!</v>
      </c>
      <c r="E207" s="1" t="e">
        <f t="shared" si="84"/>
        <v>#VALUE!</v>
      </c>
      <c r="F207" s="1" t="e">
        <f>AVERAGE($E$2:E207)</f>
        <v>#VALUE!</v>
      </c>
      <c r="G207" s="1" t="e">
        <f t="shared" si="76"/>
        <v>#VALUE!</v>
      </c>
      <c r="H207" s="1" t="e">
        <f t="shared" si="77"/>
        <v>#VALUE!</v>
      </c>
      <c r="I207" s="1" t="e">
        <f>AVERAGE($D$2:D207)</f>
        <v>#VALUE!</v>
      </c>
      <c r="J207" s="1" t="e">
        <f t="shared" si="78"/>
        <v>#VALUE!</v>
      </c>
      <c r="K207" s="4" t="e" cm="1">
        <f t="array" ref="K207">_xlfn.IFS(J207&gt;60, J207-60, J207&lt;60, J207, J207=60, 0)</f>
        <v>#VALUE!</v>
      </c>
      <c r="L207" s="1" t="e">
        <f t="shared" si="79"/>
        <v>#VALUE!</v>
      </c>
      <c r="M207" s="3" t="e">
        <f t="shared" si="80"/>
        <v>#VALUE!</v>
      </c>
      <c r="N207" s="1" t="e">
        <f t="shared" si="81"/>
        <v>#VALUE!</v>
      </c>
      <c r="O207" s="2" t="str">
        <f t="shared" si="82"/>
        <v/>
      </c>
      <c r="P207" s="1" t="str">
        <f t="shared" si="75"/>
        <v/>
      </c>
      <c r="Q207" s="47" t="str">
        <f>IF(COUNTA(C207)=1,(Table1[[#This Row],[min]]+(Table1[[#This Row],[sec]]/60))/1440, "")</f>
        <v/>
      </c>
    </row>
    <row r="208" spans="1:17" x14ac:dyDescent="0.25">
      <c r="A208" s="1">
        <v>207</v>
      </c>
      <c r="B208" s="6"/>
      <c r="D208" s="1" t="e">
        <f t="shared" si="83"/>
        <v>#VALUE!</v>
      </c>
      <c r="E208" s="1" t="e">
        <f t="shared" si="84"/>
        <v>#VALUE!</v>
      </c>
      <c r="F208" s="1" t="e">
        <f>AVERAGE($E$2:E208)</f>
        <v>#VALUE!</v>
      </c>
      <c r="G208" s="1" t="e">
        <f t="shared" si="76"/>
        <v>#VALUE!</v>
      </c>
      <c r="H208" s="1" t="e">
        <f t="shared" si="77"/>
        <v>#VALUE!</v>
      </c>
      <c r="I208" s="1" t="e">
        <f>AVERAGE($D$2:D208)</f>
        <v>#VALUE!</v>
      </c>
      <c r="J208" s="1" t="e">
        <f t="shared" si="78"/>
        <v>#VALUE!</v>
      </c>
      <c r="K208" s="4" t="e" cm="1">
        <f t="array" ref="K208">_xlfn.IFS(J208&gt;60, J208-60, J208&lt;60, J208, J208=60, 0)</f>
        <v>#VALUE!</v>
      </c>
      <c r="L208" s="1" t="e">
        <f t="shared" si="79"/>
        <v>#VALUE!</v>
      </c>
      <c r="M208" s="3" t="e">
        <f t="shared" si="80"/>
        <v>#VALUE!</v>
      </c>
      <c r="N208" s="1" t="e">
        <f t="shared" si="81"/>
        <v>#VALUE!</v>
      </c>
      <c r="O208" s="2" t="str">
        <f t="shared" si="82"/>
        <v/>
      </c>
      <c r="P208" s="1" t="str">
        <f t="shared" si="75"/>
        <v/>
      </c>
      <c r="Q208" s="47" t="str">
        <f>IF(COUNTA(C208)=1,(Table1[[#This Row],[min]]+(Table1[[#This Row],[sec]]/60))/1440, "")</f>
        <v/>
      </c>
    </row>
    <row r="209" spans="1:17" x14ac:dyDescent="0.25">
      <c r="A209" s="1">
        <v>208</v>
      </c>
      <c r="B209" s="6"/>
      <c r="D209" s="1" t="e">
        <f t="shared" si="83"/>
        <v>#VALUE!</v>
      </c>
      <c r="E209" s="1" t="e">
        <f t="shared" si="84"/>
        <v>#VALUE!</v>
      </c>
      <c r="F209" s="1" t="e">
        <f>AVERAGE($E$2:E209)</f>
        <v>#VALUE!</v>
      </c>
      <c r="G209" s="1" t="e">
        <f t="shared" si="76"/>
        <v>#VALUE!</v>
      </c>
      <c r="H209" s="1" t="e">
        <f t="shared" si="77"/>
        <v>#VALUE!</v>
      </c>
      <c r="I209" s="1" t="e">
        <f>AVERAGE($D$2:D209)</f>
        <v>#VALUE!</v>
      </c>
      <c r="J209" s="1" t="e">
        <f t="shared" si="78"/>
        <v>#VALUE!</v>
      </c>
      <c r="K209" s="4" t="e" cm="1">
        <f t="array" ref="K209">_xlfn.IFS(J209&gt;60, J209-60, J209&lt;60, J209, J209=60, 0)</f>
        <v>#VALUE!</v>
      </c>
      <c r="L209" s="1" t="e">
        <f t="shared" si="79"/>
        <v>#VALUE!</v>
      </c>
      <c r="M209" s="3" t="e">
        <f t="shared" si="80"/>
        <v>#VALUE!</v>
      </c>
      <c r="N209" s="1" t="e">
        <f t="shared" si="81"/>
        <v>#VALUE!</v>
      </c>
      <c r="O209" s="2" t="str">
        <f t="shared" si="82"/>
        <v/>
      </c>
      <c r="P209" s="1" t="str">
        <f t="shared" si="75"/>
        <v/>
      </c>
      <c r="Q209" s="47" t="str">
        <f>IF(COUNTA(C209)=1,(Table1[[#This Row],[min]]+(Table1[[#This Row],[sec]]/60))/1440, "")</f>
        <v/>
      </c>
    </row>
    <row r="210" spans="1:17" x14ac:dyDescent="0.25">
      <c r="A210" s="1">
        <v>209</v>
      </c>
      <c r="B210" s="6"/>
      <c r="D210" s="1" t="e">
        <f t="shared" si="83"/>
        <v>#VALUE!</v>
      </c>
      <c r="E210" s="1" t="e">
        <f t="shared" si="84"/>
        <v>#VALUE!</v>
      </c>
      <c r="F210" s="1" t="e">
        <f>AVERAGE($E$2:E210)</f>
        <v>#VALUE!</v>
      </c>
      <c r="G210" s="1" t="e">
        <f t="shared" si="76"/>
        <v>#VALUE!</v>
      </c>
      <c r="H210" s="1" t="e">
        <f t="shared" si="77"/>
        <v>#VALUE!</v>
      </c>
      <c r="I210" s="1" t="e">
        <f>AVERAGE($D$2:D210)</f>
        <v>#VALUE!</v>
      </c>
      <c r="J210" s="1" t="e">
        <f t="shared" si="78"/>
        <v>#VALUE!</v>
      </c>
      <c r="K210" s="4" t="e" cm="1">
        <f t="array" ref="K210">_xlfn.IFS(J210&gt;60, J210-60, J210&lt;60, J210, J210=60, 0)</f>
        <v>#VALUE!</v>
      </c>
      <c r="L210" s="1" t="e">
        <f t="shared" si="79"/>
        <v>#VALUE!</v>
      </c>
      <c r="M210" s="3" t="e">
        <f t="shared" si="80"/>
        <v>#VALUE!</v>
      </c>
      <c r="N210" s="1" t="e">
        <f t="shared" si="81"/>
        <v>#VALUE!</v>
      </c>
      <c r="O210" s="2" t="str">
        <f t="shared" si="82"/>
        <v/>
      </c>
      <c r="P210" s="1" t="str">
        <f t="shared" si="75"/>
        <v/>
      </c>
      <c r="Q210" s="47" t="str">
        <f>IF(COUNTA(C210)=1,(Table1[[#This Row],[min]]+(Table1[[#This Row],[sec]]/60))/1440, "")</f>
        <v/>
      </c>
    </row>
    <row r="211" spans="1:17" x14ac:dyDescent="0.25">
      <c r="A211" s="1">
        <v>210</v>
      </c>
      <c r="B211" s="6"/>
      <c r="D211" s="1" t="e">
        <f t="shared" si="83"/>
        <v>#VALUE!</v>
      </c>
      <c r="E211" s="1" t="e">
        <f t="shared" si="84"/>
        <v>#VALUE!</v>
      </c>
      <c r="F211" s="1" t="e">
        <f>AVERAGE($E$2:E211)</f>
        <v>#VALUE!</v>
      </c>
      <c r="G211" s="1" t="e">
        <f t="shared" si="76"/>
        <v>#VALUE!</v>
      </c>
      <c r="H211" s="1" t="e">
        <f t="shared" si="77"/>
        <v>#VALUE!</v>
      </c>
      <c r="I211" s="1" t="e">
        <f>AVERAGE($D$2:D211)</f>
        <v>#VALUE!</v>
      </c>
      <c r="J211" s="1" t="e">
        <f t="shared" si="78"/>
        <v>#VALUE!</v>
      </c>
      <c r="K211" s="4" t="e" cm="1">
        <f t="array" ref="K211">_xlfn.IFS(J211&gt;60, J211-60, J211&lt;60, J211, J211=60, 0)</f>
        <v>#VALUE!</v>
      </c>
      <c r="L211" s="1" t="e">
        <f t="shared" si="79"/>
        <v>#VALUE!</v>
      </c>
      <c r="M211" s="3" t="e">
        <f t="shared" si="80"/>
        <v>#VALUE!</v>
      </c>
      <c r="N211" s="1" t="e">
        <f t="shared" si="81"/>
        <v>#VALUE!</v>
      </c>
      <c r="O211" s="2" t="str">
        <f t="shared" si="82"/>
        <v/>
      </c>
      <c r="P211" s="1" t="str">
        <f t="shared" si="75"/>
        <v/>
      </c>
      <c r="Q211" s="47" t="str">
        <f>IF(COUNTA(C211)=1,(Table1[[#This Row],[min]]+(Table1[[#This Row],[sec]]/60))/1440, "")</f>
        <v/>
      </c>
    </row>
    <row r="212" spans="1:17" x14ac:dyDescent="0.25">
      <c r="A212" s="1">
        <v>211</v>
      </c>
      <c r="B212" s="6"/>
      <c r="D212" s="1" t="e">
        <f t="shared" si="83"/>
        <v>#VALUE!</v>
      </c>
      <c r="E212" s="1" t="e">
        <f t="shared" si="84"/>
        <v>#VALUE!</v>
      </c>
      <c r="F212" s="1" t="e">
        <f>AVERAGE($E$2:E212)</f>
        <v>#VALUE!</v>
      </c>
      <c r="G212" s="1" t="e">
        <f t="shared" si="76"/>
        <v>#VALUE!</v>
      </c>
      <c r="H212" s="1" t="e">
        <f t="shared" si="77"/>
        <v>#VALUE!</v>
      </c>
      <c r="I212" s="1" t="e">
        <f>AVERAGE($D$2:D212)</f>
        <v>#VALUE!</v>
      </c>
      <c r="J212" s="1" t="e">
        <f t="shared" si="78"/>
        <v>#VALUE!</v>
      </c>
      <c r="K212" s="4" t="e" cm="1">
        <f t="array" ref="K212">_xlfn.IFS(J212&gt;60, J212-60, J212&lt;60, J212, J212=60, 0)</f>
        <v>#VALUE!</v>
      </c>
      <c r="L212" s="1" t="e">
        <f t="shared" si="79"/>
        <v>#VALUE!</v>
      </c>
      <c r="M212" s="3" t="e">
        <f t="shared" si="80"/>
        <v>#VALUE!</v>
      </c>
      <c r="N212" s="1" t="e">
        <f t="shared" si="81"/>
        <v>#VALUE!</v>
      </c>
      <c r="O212" s="2" t="str">
        <f t="shared" si="82"/>
        <v/>
      </c>
      <c r="P212" s="1" t="str">
        <f t="shared" si="75"/>
        <v/>
      </c>
      <c r="Q212" s="47" t="str">
        <f>IF(COUNTA(C212)=1,(Table1[[#This Row],[min]]+(Table1[[#This Row],[sec]]/60))/1440, "")</f>
        <v/>
      </c>
    </row>
    <row r="213" spans="1:17" x14ac:dyDescent="0.25">
      <c r="A213" s="1">
        <v>212</v>
      </c>
      <c r="B213" s="6"/>
      <c r="D213" s="1" t="e">
        <f t="shared" si="83"/>
        <v>#VALUE!</v>
      </c>
      <c r="E213" s="1" t="e">
        <f t="shared" si="84"/>
        <v>#VALUE!</v>
      </c>
      <c r="F213" s="1" t="e">
        <f>AVERAGE($E$2:E213)</f>
        <v>#VALUE!</v>
      </c>
      <c r="G213" s="1" t="e">
        <f t="shared" si="76"/>
        <v>#VALUE!</v>
      </c>
      <c r="H213" s="1" t="e">
        <f t="shared" si="77"/>
        <v>#VALUE!</v>
      </c>
      <c r="I213" s="1" t="e">
        <f>AVERAGE($D$2:D213)</f>
        <v>#VALUE!</v>
      </c>
      <c r="J213" s="1" t="e">
        <f t="shared" si="78"/>
        <v>#VALUE!</v>
      </c>
      <c r="K213" s="4" t="e" cm="1">
        <f t="array" ref="K213">_xlfn.IFS(J213&gt;60, J213-60, J213&lt;60, J213, J213=60, 0)</f>
        <v>#VALUE!</v>
      </c>
      <c r="L213" s="1" t="e">
        <f t="shared" si="79"/>
        <v>#VALUE!</v>
      </c>
      <c r="M213" s="3" t="e">
        <f t="shared" si="80"/>
        <v>#VALUE!</v>
      </c>
      <c r="N213" s="1" t="e">
        <f t="shared" si="81"/>
        <v>#VALUE!</v>
      </c>
      <c r="O213" s="2" t="str">
        <f t="shared" si="82"/>
        <v/>
      </c>
      <c r="P213" s="1" t="str">
        <f t="shared" si="75"/>
        <v/>
      </c>
      <c r="Q213" s="47" t="str">
        <f>IF(COUNTA(C213)=1,(Table1[[#This Row],[min]]+(Table1[[#This Row],[sec]]/60))/1440, "")</f>
        <v/>
      </c>
    </row>
    <row r="214" spans="1:17" x14ac:dyDescent="0.25">
      <c r="A214" s="1">
        <v>213</v>
      </c>
      <c r="B214" s="6"/>
      <c r="D214" s="1" t="e">
        <f t="shared" si="83"/>
        <v>#VALUE!</v>
      </c>
      <c r="E214" s="1" t="e">
        <f t="shared" si="84"/>
        <v>#VALUE!</v>
      </c>
      <c r="F214" s="1" t="e">
        <f>AVERAGE($E$2:E214)</f>
        <v>#VALUE!</v>
      </c>
      <c r="G214" s="1" t="e">
        <f t="shared" si="76"/>
        <v>#VALUE!</v>
      </c>
      <c r="H214" s="1" t="e">
        <f t="shared" si="77"/>
        <v>#VALUE!</v>
      </c>
      <c r="I214" s="1" t="e">
        <f>AVERAGE($D$2:D214)</f>
        <v>#VALUE!</v>
      </c>
      <c r="J214" s="1" t="e">
        <f t="shared" si="78"/>
        <v>#VALUE!</v>
      </c>
      <c r="K214" s="4" t="e" cm="1">
        <f t="array" ref="K214">_xlfn.IFS(J214&gt;60, J214-60, J214&lt;60, J214, J214=60, 0)</f>
        <v>#VALUE!</v>
      </c>
      <c r="L214" s="1" t="e">
        <f t="shared" si="79"/>
        <v>#VALUE!</v>
      </c>
      <c r="M214" s="3" t="e">
        <f t="shared" si="80"/>
        <v>#VALUE!</v>
      </c>
      <c r="N214" s="1" t="e">
        <f t="shared" si="81"/>
        <v>#VALUE!</v>
      </c>
      <c r="O214" s="2" t="str">
        <f t="shared" si="82"/>
        <v/>
      </c>
      <c r="P214" s="1" t="str">
        <f t="shared" si="75"/>
        <v/>
      </c>
      <c r="Q214" s="47" t="str">
        <f>IF(COUNTA(C214)=1,(Table1[[#This Row],[min]]+(Table1[[#This Row],[sec]]/60))/1440, "")</f>
        <v/>
      </c>
    </row>
    <row r="215" spans="1:17" x14ac:dyDescent="0.25">
      <c r="A215" s="1">
        <v>214</v>
      </c>
      <c r="B215" s="6"/>
      <c r="D215" s="1" t="e">
        <f t="shared" si="83"/>
        <v>#VALUE!</v>
      </c>
      <c r="E215" s="1" t="e">
        <f t="shared" si="84"/>
        <v>#VALUE!</v>
      </c>
      <c r="F215" s="1" t="e">
        <f>AVERAGE($E$2:E215)</f>
        <v>#VALUE!</v>
      </c>
      <c r="G215" s="1" t="e">
        <f t="shared" si="76"/>
        <v>#VALUE!</v>
      </c>
      <c r="H215" s="1" t="e">
        <f t="shared" si="77"/>
        <v>#VALUE!</v>
      </c>
      <c r="I215" s="1" t="e">
        <f>AVERAGE($D$2:D215)</f>
        <v>#VALUE!</v>
      </c>
      <c r="J215" s="1" t="e">
        <f t="shared" si="78"/>
        <v>#VALUE!</v>
      </c>
      <c r="K215" s="4" t="e" cm="1">
        <f t="array" ref="K215">_xlfn.IFS(J215&gt;60, J215-60, J215&lt;60, J215, J215=60, 0)</f>
        <v>#VALUE!</v>
      </c>
      <c r="L215" s="1" t="e">
        <f t="shared" si="79"/>
        <v>#VALUE!</v>
      </c>
      <c r="M215" s="3" t="e">
        <f t="shared" si="80"/>
        <v>#VALUE!</v>
      </c>
      <c r="N215" s="1" t="e">
        <f t="shared" si="81"/>
        <v>#VALUE!</v>
      </c>
      <c r="O215" s="2" t="str">
        <f t="shared" si="82"/>
        <v/>
      </c>
      <c r="P215" s="1" t="str">
        <f t="shared" si="75"/>
        <v/>
      </c>
      <c r="Q215" s="47" t="str">
        <f>IF(COUNTA(C215)=1,(Table1[[#This Row],[min]]+(Table1[[#This Row],[sec]]/60))/1440, "")</f>
        <v/>
      </c>
    </row>
    <row r="216" spans="1:17" x14ac:dyDescent="0.25">
      <c r="A216" s="1">
        <v>215</v>
      </c>
      <c r="B216" s="6"/>
      <c r="D216" s="1" t="e">
        <f t="shared" si="83"/>
        <v>#VALUE!</v>
      </c>
      <c r="E216" s="1" t="e">
        <f t="shared" si="84"/>
        <v>#VALUE!</v>
      </c>
      <c r="F216" s="1" t="e">
        <f>AVERAGE($E$2:E216)</f>
        <v>#VALUE!</v>
      </c>
      <c r="G216" s="1" t="e">
        <f t="shared" si="76"/>
        <v>#VALUE!</v>
      </c>
      <c r="H216" s="1" t="e">
        <f t="shared" si="77"/>
        <v>#VALUE!</v>
      </c>
      <c r="I216" s="1" t="e">
        <f>AVERAGE($D$2:D216)</f>
        <v>#VALUE!</v>
      </c>
      <c r="J216" s="1" t="e">
        <f t="shared" si="78"/>
        <v>#VALUE!</v>
      </c>
      <c r="K216" s="4" t="e" cm="1">
        <f t="array" ref="K216">_xlfn.IFS(J216&gt;60, J216-60, J216&lt;60, J216, J216=60, 0)</f>
        <v>#VALUE!</v>
      </c>
      <c r="L216" s="1" t="e">
        <f t="shared" si="79"/>
        <v>#VALUE!</v>
      </c>
      <c r="M216" s="3" t="e">
        <f t="shared" si="80"/>
        <v>#VALUE!</v>
      </c>
      <c r="N216" s="1" t="e">
        <f t="shared" si="81"/>
        <v>#VALUE!</v>
      </c>
      <c r="O216" s="2" t="str">
        <f t="shared" si="82"/>
        <v/>
      </c>
      <c r="P216" s="1" t="str">
        <f t="shared" si="75"/>
        <v/>
      </c>
      <c r="Q216" s="47" t="str">
        <f>IF(COUNTA(C216)=1,(Table1[[#This Row],[min]]+(Table1[[#This Row],[sec]]/60))/1440, "")</f>
        <v/>
      </c>
    </row>
    <row r="217" spans="1:17" x14ac:dyDescent="0.25">
      <c r="A217" s="1">
        <v>216</v>
      </c>
      <c r="B217" s="6"/>
      <c r="D217" s="1" t="e">
        <f t="shared" si="83"/>
        <v>#VALUE!</v>
      </c>
      <c r="E217" s="1" t="e">
        <f t="shared" si="84"/>
        <v>#VALUE!</v>
      </c>
      <c r="F217" s="1" t="e">
        <f>AVERAGE($E$2:E217)</f>
        <v>#VALUE!</v>
      </c>
      <c r="G217" s="1" t="e">
        <f t="shared" si="76"/>
        <v>#VALUE!</v>
      </c>
      <c r="H217" s="1" t="e">
        <f t="shared" si="77"/>
        <v>#VALUE!</v>
      </c>
      <c r="I217" s="1" t="e">
        <f>AVERAGE($D$2:D217)</f>
        <v>#VALUE!</v>
      </c>
      <c r="J217" s="1" t="e">
        <f t="shared" si="78"/>
        <v>#VALUE!</v>
      </c>
      <c r="K217" s="4" t="e" cm="1">
        <f t="array" ref="K217">_xlfn.IFS(J217&gt;60, J217-60, J217&lt;60, J217, J217=60, 0)</f>
        <v>#VALUE!</v>
      </c>
      <c r="L217" s="1" t="e">
        <f t="shared" si="79"/>
        <v>#VALUE!</v>
      </c>
      <c r="M217" s="3" t="e">
        <f t="shared" si="80"/>
        <v>#VALUE!</v>
      </c>
      <c r="N217" s="1" t="e">
        <f t="shared" si="81"/>
        <v>#VALUE!</v>
      </c>
      <c r="O217" s="2" t="str">
        <f t="shared" si="82"/>
        <v/>
      </c>
      <c r="P217" s="1" t="str">
        <f t="shared" ref="P217:P280" si="85">IF(COUNTA(B217)=1,TEXT(B217, "mmmm"), "")</f>
        <v/>
      </c>
      <c r="Q217" s="47" t="str">
        <f>IF(COUNTA(C217)=1,(Table1[[#This Row],[min]]+(Table1[[#This Row],[sec]]/60))/1440, "")</f>
        <v/>
      </c>
    </row>
    <row r="218" spans="1:17" x14ac:dyDescent="0.25">
      <c r="A218" s="1">
        <v>217</v>
      </c>
      <c r="B218" s="6"/>
      <c r="D218" s="1" t="e">
        <f t="shared" si="83"/>
        <v>#VALUE!</v>
      </c>
      <c r="E218" s="1" t="e">
        <f t="shared" si="84"/>
        <v>#VALUE!</v>
      </c>
      <c r="F218" s="1" t="e">
        <f>AVERAGE($E$2:E218)</f>
        <v>#VALUE!</v>
      </c>
      <c r="G218" s="1" t="e">
        <f t="shared" si="76"/>
        <v>#VALUE!</v>
      </c>
      <c r="H218" s="1" t="e">
        <f t="shared" si="77"/>
        <v>#VALUE!</v>
      </c>
      <c r="I218" s="1" t="e">
        <f>AVERAGE($D$2:D218)</f>
        <v>#VALUE!</v>
      </c>
      <c r="J218" s="1" t="e">
        <f t="shared" si="78"/>
        <v>#VALUE!</v>
      </c>
      <c r="K218" s="4" t="e" cm="1">
        <f t="array" ref="K218">_xlfn.IFS(J218&gt;60, J218-60, J218&lt;60, J218, J218=60, 0)</f>
        <v>#VALUE!</v>
      </c>
      <c r="L218" s="1" t="e">
        <f t="shared" si="79"/>
        <v>#VALUE!</v>
      </c>
      <c r="M218" s="3" t="e">
        <f t="shared" si="80"/>
        <v>#VALUE!</v>
      </c>
      <c r="N218" s="1" t="e">
        <f t="shared" si="81"/>
        <v>#VALUE!</v>
      </c>
      <c r="O218" s="2" t="str">
        <f t="shared" si="82"/>
        <v/>
      </c>
      <c r="P218" s="1" t="str">
        <f t="shared" si="85"/>
        <v/>
      </c>
      <c r="Q218" s="47" t="str">
        <f>IF(COUNTA(C218)=1,(Table1[[#This Row],[min]]+(Table1[[#This Row],[sec]]/60))/1440, "")</f>
        <v/>
      </c>
    </row>
    <row r="219" spans="1:17" x14ac:dyDescent="0.25">
      <c r="A219" s="1">
        <v>218</v>
      </c>
      <c r="B219" s="6"/>
      <c r="D219" s="1" t="e">
        <f t="shared" si="83"/>
        <v>#VALUE!</v>
      </c>
      <c r="E219" s="1" t="e">
        <f t="shared" si="84"/>
        <v>#VALUE!</v>
      </c>
      <c r="F219" s="1" t="e">
        <f>AVERAGE($E$2:E219)</f>
        <v>#VALUE!</v>
      </c>
      <c r="G219" s="1" t="e">
        <f t="shared" si="76"/>
        <v>#VALUE!</v>
      </c>
      <c r="H219" s="1" t="e">
        <f t="shared" si="77"/>
        <v>#VALUE!</v>
      </c>
      <c r="I219" s="1" t="e">
        <f>AVERAGE($D$2:D219)</f>
        <v>#VALUE!</v>
      </c>
      <c r="J219" s="1" t="e">
        <f t="shared" si="78"/>
        <v>#VALUE!</v>
      </c>
      <c r="K219" s="4" t="e" cm="1">
        <f t="array" ref="K219">_xlfn.IFS(J219&gt;60, J219-60, J219&lt;60, J219, J219=60, 0)</f>
        <v>#VALUE!</v>
      </c>
      <c r="L219" s="1" t="e">
        <f t="shared" si="79"/>
        <v>#VALUE!</v>
      </c>
      <c r="M219" s="3" t="e">
        <f t="shared" si="80"/>
        <v>#VALUE!</v>
      </c>
      <c r="N219" s="1" t="e">
        <f t="shared" si="81"/>
        <v>#VALUE!</v>
      </c>
      <c r="O219" s="2" t="str">
        <f t="shared" si="82"/>
        <v/>
      </c>
      <c r="P219" s="1" t="str">
        <f t="shared" si="85"/>
        <v/>
      </c>
      <c r="Q219" s="47" t="str">
        <f>IF(COUNTA(C219)=1,(Table1[[#This Row],[min]]+(Table1[[#This Row],[sec]]/60))/1440, "")</f>
        <v/>
      </c>
    </row>
    <row r="220" spans="1:17" x14ac:dyDescent="0.25">
      <c r="A220" s="1">
        <v>219</v>
      </c>
      <c r="B220" s="6"/>
      <c r="D220" s="1" t="e">
        <f t="shared" si="83"/>
        <v>#VALUE!</v>
      </c>
      <c r="E220" s="1" t="e">
        <f t="shared" si="84"/>
        <v>#VALUE!</v>
      </c>
      <c r="F220" s="1" t="e">
        <f>AVERAGE($E$2:E220)</f>
        <v>#VALUE!</v>
      </c>
      <c r="G220" s="1" t="e">
        <f t="shared" si="76"/>
        <v>#VALUE!</v>
      </c>
      <c r="H220" s="1" t="e">
        <f t="shared" si="77"/>
        <v>#VALUE!</v>
      </c>
      <c r="I220" s="1" t="e">
        <f>AVERAGE($D$2:D220)</f>
        <v>#VALUE!</v>
      </c>
      <c r="J220" s="1" t="e">
        <f t="shared" si="78"/>
        <v>#VALUE!</v>
      </c>
      <c r="K220" s="4" t="e" cm="1">
        <f t="array" ref="K220">_xlfn.IFS(J220&gt;60, J220-60, J220&lt;60, J220, J220=60, 0)</f>
        <v>#VALUE!</v>
      </c>
      <c r="L220" s="1" t="e">
        <f t="shared" si="79"/>
        <v>#VALUE!</v>
      </c>
      <c r="M220" s="3" t="e">
        <f t="shared" si="80"/>
        <v>#VALUE!</v>
      </c>
      <c r="N220" s="1" t="e">
        <f t="shared" si="81"/>
        <v>#VALUE!</v>
      </c>
      <c r="O220" s="2" t="str">
        <f t="shared" si="82"/>
        <v/>
      </c>
      <c r="P220" s="1" t="str">
        <f t="shared" si="85"/>
        <v/>
      </c>
      <c r="Q220" s="47" t="str">
        <f>IF(COUNTA(C220)=1,(Table1[[#This Row],[min]]+(Table1[[#This Row],[sec]]/60))/1440, "")</f>
        <v/>
      </c>
    </row>
    <row r="221" spans="1:17" x14ac:dyDescent="0.25">
      <c r="A221" s="1">
        <v>220</v>
      </c>
      <c r="B221" s="6"/>
      <c r="D221" s="1" t="e">
        <f t="shared" si="83"/>
        <v>#VALUE!</v>
      </c>
      <c r="E221" s="1" t="e">
        <f t="shared" si="84"/>
        <v>#VALUE!</v>
      </c>
      <c r="F221" s="1" t="e">
        <f>AVERAGE($E$2:E221)</f>
        <v>#VALUE!</v>
      </c>
      <c r="G221" s="1" t="e">
        <f t="shared" si="76"/>
        <v>#VALUE!</v>
      </c>
      <c r="H221" s="1" t="e">
        <f t="shared" si="77"/>
        <v>#VALUE!</v>
      </c>
      <c r="I221" s="1" t="e">
        <f>AVERAGE($D$2:D221)</f>
        <v>#VALUE!</v>
      </c>
      <c r="J221" s="1" t="e">
        <f t="shared" si="78"/>
        <v>#VALUE!</v>
      </c>
      <c r="K221" s="4" t="e" cm="1">
        <f t="array" ref="K221">_xlfn.IFS(J221&gt;60, J221-60, J221&lt;60, J221, J221=60, 0)</f>
        <v>#VALUE!</v>
      </c>
      <c r="L221" s="1" t="e">
        <f t="shared" si="79"/>
        <v>#VALUE!</v>
      </c>
      <c r="M221" s="3" t="e">
        <f t="shared" si="80"/>
        <v>#VALUE!</v>
      </c>
      <c r="N221" s="1" t="e">
        <f t="shared" si="81"/>
        <v>#VALUE!</v>
      </c>
      <c r="O221" s="2" t="str">
        <f t="shared" si="82"/>
        <v/>
      </c>
      <c r="P221" s="1" t="str">
        <f t="shared" si="85"/>
        <v/>
      </c>
      <c r="Q221" s="47" t="str">
        <f>IF(COUNTA(C221)=1,(Table1[[#This Row],[min]]+(Table1[[#This Row],[sec]]/60))/1440, "")</f>
        <v/>
      </c>
    </row>
    <row r="222" spans="1:17" x14ac:dyDescent="0.25">
      <c r="A222" s="1">
        <v>221</v>
      </c>
      <c r="B222" s="6"/>
      <c r="D222" s="1" t="e">
        <f t="shared" si="83"/>
        <v>#VALUE!</v>
      </c>
      <c r="E222" s="1" t="e">
        <f t="shared" si="84"/>
        <v>#VALUE!</v>
      </c>
      <c r="F222" s="1" t="e">
        <f>AVERAGE($E$2:E222)</f>
        <v>#VALUE!</v>
      </c>
      <c r="G222" s="1" t="e">
        <f t="shared" si="76"/>
        <v>#VALUE!</v>
      </c>
      <c r="H222" s="1" t="e">
        <f t="shared" si="77"/>
        <v>#VALUE!</v>
      </c>
      <c r="I222" s="1" t="e">
        <f>AVERAGE($D$2:D222)</f>
        <v>#VALUE!</v>
      </c>
      <c r="J222" s="1" t="e">
        <f t="shared" si="78"/>
        <v>#VALUE!</v>
      </c>
      <c r="K222" s="4" t="e" cm="1">
        <f t="array" ref="K222">_xlfn.IFS(J222&gt;60, J222-60, J222&lt;60, J222, J222=60, 0)</f>
        <v>#VALUE!</v>
      </c>
      <c r="L222" s="1" t="e">
        <f t="shared" si="79"/>
        <v>#VALUE!</v>
      </c>
      <c r="M222" s="3" t="e">
        <f t="shared" si="80"/>
        <v>#VALUE!</v>
      </c>
      <c r="N222" s="1" t="e">
        <f t="shared" si="81"/>
        <v>#VALUE!</v>
      </c>
      <c r="O222" s="2" t="str">
        <f t="shared" si="82"/>
        <v/>
      </c>
      <c r="P222" s="1" t="str">
        <f t="shared" si="85"/>
        <v/>
      </c>
      <c r="Q222" s="47" t="str">
        <f>IF(COUNTA(C222)=1,(Table1[[#This Row],[min]]+(Table1[[#This Row],[sec]]/60))/1440, "")</f>
        <v/>
      </c>
    </row>
    <row r="223" spans="1:17" x14ac:dyDescent="0.25">
      <c r="A223" s="1">
        <v>222</v>
      </c>
      <c r="B223" s="6"/>
      <c r="D223" s="1" t="e">
        <f t="shared" si="83"/>
        <v>#VALUE!</v>
      </c>
      <c r="E223" s="1" t="e">
        <f t="shared" si="84"/>
        <v>#VALUE!</v>
      </c>
      <c r="F223" s="1" t="e">
        <f>AVERAGE($E$2:E223)</f>
        <v>#VALUE!</v>
      </c>
      <c r="G223" s="1" t="e">
        <f t="shared" si="76"/>
        <v>#VALUE!</v>
      </c>
      <c r="H223" s="1" t="e">
        <f t="shared" si="77"/>
        <v>#VALUE!</v>
      </c>
      <c r="I223" s="1" t="e">
        <f>AVERAGE($D$2:D223)</f>
        <v>#VALUE!</v>
      </c>
      <c r="J223" s="1" t="e">
        <f t="shared" si="78"/>
        <v>#VALUE!</v>
      </c>
      <c r="K223" s="4" t="e" cm="1">
        <f t="array" ref="K223">_xlfn.IFS(J223&gt;60, J223-60, J223&lt;60, J223, J223=60, 0)</f>
        <v>#VALUE!</v>
      </c>
      <c r="L223" s="1" t="e">
        <f t="shared" si="79"/>
        <v>#VALUE!</v>
      </c>
      <c r="M223" s="3" t="e">
        <f t="shared" si="80"/>
        <v>#VALUE!</v>
      </c>
      <c r="N223" s="1" t="e">
        <f t="shared" si="81"/>
        <v>#VALUE!</v>
      </c>
      <c r="O223" s="2" t="str">
        <f t="shared" si="82"/>
        <v/>
      </c>
      <c r="P223" s="1" t="str">
        <f t="shared" si="85"/>
        <v/>
      </c>
      <c r="Q223" s="47" t="str">
        <f>IF(COUNTA(C223)=1,(Table1[[#This Row],[min]]+(Table1[[#This Row],[sec]]/60))/1440, "")</f>
        <v/>
      </c>
    </row>
    <row r="224" spans="1:17" x14ac:dyDescent="0.25">
      <c r="A224" s="1">
        <v>223</v>
      </c>
      <c r="B224" s="6"/>
      <c r="D224" s="1" t="e">
        <f t="shared" si="83"/>
        <v>#VALUE!</v>
      </c>
      <c r="E224" s="1" t="e">
        <f t="shared" si="84"/>
        <v>#VALUE!</v>
      </c>
      <c r="F224" s="1" t="e">
        <f>AVERAGE($E$2:E224)</f>
        <v>#VALUE!</v>
      </c>
      <c r="G224" s="1" t="e">
        <f t="shared" si="76"/>
        <v>#VALUE!</v>
      </c>
      <c r="H224" s="1" t="e">
        <f t="shared" si="77"/>
        <v>#VALUE!</v>
      </c>
      <c r="I224" s="1" t="e">
        <f>AVERAGE($D$2:D224)</f>
        <v>#VALUE!</v>
      </c>
      <c r="J224" s="1" t="e">
        <f t="shared" si="78"/>
        <v>#VALUE!</v>
      </c>
      <c r="K224" s="4" t="e" cm="1">
        <f t="array" ref="K224">_xlfn.IFS(J224&gt;60, J224-60, J224&lt;60, J224, J224=60, 0)</f>
        <v>#VALUE!</v>
      </c>
      <c r="L224" s="1" t="e">
        <f t="shared" si="79"/>
        <v>#VALUE!</v>
      </c>
      <c r="M224" s="3" t="e">
        <f t="shared" si="80"/>
        <v>#VALUE!</v>
      </c>
      <c r="N224" s="1" t="e">
        <f t="shared" si="81"/>
        <v>#VALUE!</v>
      </c>
      <c r="O224" s="2" t="str">
        <f t="shared" si="82"/>
        <v/>
      </c>
      <c r="P224" s="1" t="str">
        <f t="shared" si="85"/>
        <v/>
      </c>
      <c r="Q224" s="47" t="str">
        <f>IF(COUNTA(C224)=1,(Table1[[#This Row],[min]]+(Table1[[#This Row],[sec]]/60))/1440, "")</f>
        <v/>
      </c>
    </row>
    <row r="225" spans="1:17" x14ac:dyDescent="0.25">
      <c r="A225" s="1">
        <v>224</v>
      </c>
      <c r="B225" s="6"/>
      <c r="D225" s="1" t="e">
        <f t="shared" si="83"/>
        <v>#VALUE!</v>
      </c>
      <c r="E225" s="1" t="e">
        <f t="shared" si="84"/>
        <v>#VALUE!</v>
      </c>
      <c r="F225" s="1" t="e">
        <f>AVERAGE($E$2:E225)</f>
        <v>#VALUE!</v>
      </c>
      <c r="G225" s="1" t="e">
        <f t="shared" si="76"/>
        <v>#VALUE!</v>
      </c>
      <c r="H225" s="1" t="e">
        <f t="shared" si="77"/>
        <v>#VALUE!</v>
      </c>
      <c r="I225" s="1" t="e">
        <f>AVERAGE($D$2:D225)</f>
        <v>#VALUE!</v>
      </c>
      <c r="J225" s="1" t="e">
        <f t="shared" si="78"/>
        <v>#VALUE!</v>
      </c>
      <c r="K225" s="4" t="e" cm="1">
        <f t="array" ref="K225">_xlfn.IFS(J225&gt;60, J225-60, J225&lt;60, J225, J225=60, 0)</f>
        <v>#VALUE!</v>
      </c>
      <c r="L225" s="1" t="e">
        <f t="shared" si="79"/>
        <v>#VALUE!</v>
      </c>
      <c r="M225" s="3" t="e">
        <f t="shared" si="80"/>
        <v>#VALUE!</v>
      </c>
      <c r="N225" s="1" t="e">
        <f t="shared" si="81"/>
        <v>#VALUE!</v>
      </c>
      <c r="O225" s="2" t="str">
        <f t="shared" si="82"/>
        <v/>
      </c>
      <c r="P225" s="1" t="str">
        <f t="shared" si="85"/>
        <v/>
      </c>
      <c r="Q225" s="47" t="str">
        <f>IF(COUNTA(C225)=1,(Table1[[#This Row],[min]]+(Table1[[#This Row],[sec]]/60))/1440, "")</f>
        <v/>
      </c>
    </row>
    <row r="226" spans="1:17" x14ac:dyDescent="0.25">
      <c r="A226" s="1">
        <v>225</v>
      </c>
      <c r="B226" s="6"/>
      <c r="D226" s="1" t="e">
        <f t="shared" si="83"/>
        <v>#VALUE!</v>
      </c>
      <c r="E226" s="1" t="e">
        <f t="shared" si="84"/>
        <v>#VALUE!</v>
      </c>
      <c r="F226" s="1" t="e">
        <f>AVERAGE($E$2:E226)</f>
        <v>#VALUE!</v>
      </c>
      <c r="G226" s="1" t="e">
        <f t="shared" si="76"/>
        <v>#VALUE!</v>
      </c>
      <c r="H226" s="1" t="e">
        <f t="shared" si="77"/>
        <v>#VALUE!</v>
      </c>
      <c r="I226" s="1" t="e">
        <f>AVERAGE($D$2:D226)</f>
        <v>#VALUE!</v>
      </c>
      <c r="J226" s="1" t="e">
        <f t="shared" si="78"/>
        <v>#VALUE!</v>
      </c>
      <c r="K226" s="4" t="e" cm="1">
        <f t="array" ref="K226">_xlfn.IFS(J226&gt;60, J226-60, J226&lt;60, J226, J226=60, 0)</f>
        <v>#VALUE!</v>
      </c>
      <c r="L226" s="1" t="e">
        <f t="shared" si="79"/>
        <v>#VALUE!</v>
      </c>
      <c r="M226" s="3" t="e">
        <f t="shared" si="80"/>
        <v>#VALUE!</v>
      </c>
      <c r="N226" s="1" t="e">
        <f t="shared" si="81"/>
        <v>#VALUE!</v>
      </c>
      <c r="O226" s="2" t="str">
        <f t="shared" si="82"/>
        <v/>
      </c>
      <c r="P226" s="1" t="str">
        <f t="shared" si="85"/>
        <v/>
      </c>
      <c r="Q226" s="47" t="str">
        <f>IF(COUNTA(C226)=1,(Table1[[#This Row],[min]]+(Table1[[#This Row],[sec]]/60))/1440, "")</f>
        <v/>
      </c>
    </row>
    <row r="227" spans="1:17" x14ac:dyDescent="0.25">
      <c r="A227" s="1">
        <v>226</v>
      </c>
      <c r="B227" s="6"/>
      <c r="D227" s="1" t="e">
        <f t="shared" si="83"/>
        <v>#VALUE!</v>
      </c>
      <c r="E227" s="1" t="e">
        <f t="shared" si="84"/>
        <v>#VALUE!</v>
      </c>
      <c r="F227" s="1" t="e">
        <f>AVERAGE($E$2:E227)</f>
        <v>#VALUE!</v>
      </c>
      <c r="G227" s="1" t="e">
        <f t="shared" ref="G227:G290" si="86">IF(INT(F227)=F227,0,VALUE(MID(F227,2,4)))</f>
        <v>#VALUE!</v>
      </c>
      <c r="H227" s="1" t="e">
        <f t="shared" ref="H227:H290" si="87">G227*60</f>
        <v>#VALUE!</v>
      </c>
      <c r="I227" s="1" t="e">
        <f>AVERAGE($D$2:D227)</f>
        <v>#VALUE!</v>
      </c>
      <c r="J227" s="1" t="e">
        <f t="shared" ref="J227:J290" si="88">H227+I227</f>
        <v>#VALUE!</v>
      </c>
      <c r="K227" s="4" t="e" cm="1">
        <f t="array" ref="K227">_xlfn.IFS(J227&gt;60, J227-60, J227&lt;60, J227, J227=60, 0)</f>
        <v>#VALUE!</v>
      </c>
      <c r="L227" s="1" t="e">
        <f t="shared" ref="L227:L290" si="89">IF(J227&gt;60, 1 + VALUE(LEFT(F227,1)), VALUE(LEFT(F227,1)))</f>
        <v>#VALUE!</v>
      </c>
      <c r="M227" s="3" t="e">
        <f t="shared" ref="M227:M290" si="90" xml:space="preserve"> VALUE(LEFT(K227,5))</f>
        <v>#VALUE!</v>
      </c>
      <c r="N227" s="1" t="e">
        <f t="shared" ref="N227:N290" si="91">IF(K227&lt;10, CONCATENATE(L227, ":", 0, M227, " min/km"), CONCATENATE(L227, ":", M227, " min/km"))</f>
        <v>#VALUE!</v>
      </c>
      <c r="O227" s="2" t="str">
        <f t="shared" ref="O227:O290" si="92">IF(COUNT(C227)=1, N227, "")</f>
        <v/>
      </c>
      <c r="P227" s="1" t="str">
        <f t="shared" si="85"/>
        <v/>
      </c>
      <c r="Q227" s="47" t="str">
        <f>IF(COUNTA(C227)=1,(Table1[[#This Row],[min]]+(Table1[[#This Row],[sec]]/60))/1440, "")</f>
        <v/>
      </c>
    </row>
    <row r="228" spans="1:17" x14ac:dyDescent="0.25">
      <c r="A228" s="1">
        <v>227</v>
      </c>
      <c r="B228" s="6"/>
      <c r="D228" s="1" t="e">
        <f t="shared" si="83"/>
        <v>#VALUE!</v>
      </c>
      <c r="E228" s="1" t="e">
        <f t="shared" si="84"/>
        <v>#VALUE!</v>
      </c>
      <c r="F228" s="1" t="e">
        <f>AVERAGE($E$2:E228)</f>
        <v>#VALUE!</v>
      </c>
      <c r="G228" s="1" t="e">
        <f t="shared" si="86"/>
        <v>#VALUE!</v>
      </c>
      <c r="H228" s="1" t="e">
        <f t="shared" si="87"/>
        <v>#VALUE!</v>
      </c>
      <c r="I228" s="1" t="e">
        <f>AVERAGE($D$2:D228)</f>
        <v>#VALUE!</v>
      </c>
      <c r="J228" s="1" t="e">
        <f t="shared" si="88"/>
        <v>#VALUE!</v>
      </c>
      <c r="K228" s="4" t="e" cm="1">
        <f t="array" ref="K228">_xlfn.IFS(J228&gt;60, J228-60, J228&lt;60, J228, J228=60, 0)</f>
        <v>#VALUE!</v>
      </c>
      <c r="L228" s="1" t="e">
        <f t="shared" si="89"/>
        <v>#VALUE!</v>
      </c>
      <c r="M228" s="3" t="e">
        <f t="shared" si="90"/>
        <v>#VALUE!</v>
      </c>
      <c r="N228" s="1" t="e">
        <f t="shared" si="91"/>
        <v>#VALUE!</v>
      </c>
      <c r="O228" s="2" t="str">
        <f t="shared" si="92"/>
        <v/>
      </c>
      <c r="P228" s="1" t="str">
        <f t="shared" si="85"/>
        <v/>
      </c>
      <c r="Q228" s="47" t="str">
        <f>IF(COUNTA(C228)=1,(Table1[[#This Row],[min]]+(Table1[[#This Row],[sec]]/60))/1440, "")</f>
        <v/>
      </c>
    </row>
    <row r="229" spans="1:17" x14ac:dyDescent="0.25">
      <c r="A229" s="1">
        <v>228</v>
      </c>
      <c r="B229" s="6"/>
      <c r="D229" s="1" t="e">
        <f t="shared" si="83"/>
        <v>#VALUE!</v>
      </c>
      <c r="E229" s="1" t="e">
        <f t="shared" si="84"/>
        <v>#VALUE!</v>
      </c>
      <c r="F229" s="1" t="e">
        <f>AVERAGE($E$2:E229)</f>
        <v>#VALUE!</v>
      </c>
      <c r="G229" s="1" t="e">
        <f t="shared" si="86"/>
        <v>#VALUE!</v>
      </c>
      <c r="H229" s="1" t="e">
        <f t="shared" si="87"/>
        <v>#VALUE!</v>
      </c>
      <c r="I229" s="1" t="e">
        <f>AVERAGE($D$2:D229)</f>
        <v>#VALUE!</v>
      </c>
      <c r="J229" s="1" t="e">
        <f t="shared" si="88"/>
        <v>#VALUE!</v>
      </c>
      <c r="K229" s="4" t="e" cm="1">
        <f t="array" ref="K229">_xlfn.IFS(J229&gt;60, J229-60, J229&lt;60, J229, J229=60, 0)</f>
        <v>#VALUE!</v>
      </c>
      <c r="L229" s="1" t="e">
        <f t="shared" si="89"/>
        <v>#VALUE!</v>
      </c>
      <c r="M229" s="3" t="e">
        <f t="shared" si="90"/>
        <v>#VALUE!</v>
      </c>
      <c r="N229" s="1" t="e">
        <f t="shared" si="91"/>
        <v>#VALUE!</v>
      </c>
      <c r="O229" s="2" t="str">
        <f t="shared" si="92"/>
        <v/>
      </c>
      <c r="P229" s="1" t="str">
        <f t="shared" si="85"/>
        <v/>
      </c>
      <c r="Q229" s="47" t="str">
        <f>IF(COUNTA(C229)=1,(Table1[[#This Row],[min]]+(Table1[[#This Row],[sec]]/60))/1440, "")</f>
        <v/>
      </c>
    </row>
    <row r="230" spans="1:17" x14ac:dyDescent="0.25">
      <c r="A230" s="1">
        <v>229</v>
      </c>
      <c r="B230" s="6"/>
      <c r="D230" s="1" t="e">
        <f t="shared" si="83"/>
        <v>#VALUE!</v>
      </c>
      <c r="E230" s="1" t="e">
        <f t="shared" si="84"/>
        <v>#VALUE!</v>
      </c>
      <c r="F230" s="1" t="e">
        <f>AVERAGE($E$2:E230)</f>
        <v>#VALUE!</v>
      </c>
      <c r="G230" s="1" t="e">
        <f t="shared" si="86"/>
        <v>#VALUE!</v>
      </c>
      <c r="H230" s="1" t="e">
        <f t="shared" si="87"/>
        <v>#VALUE!</v>
      </c>
      <c r="I230" s="1" t="e">
        <f>AVERAGE($D$2:D230)</f>
        <v>#VALUE!</v>
      </c>
      <c r="J230" s="1" t="e">
        <f t="shared" si="88"/>
        <v>#VALUE!</v>
      </c>
      <c r="K230" s="4" t="e" cm="1">
        <f t="array" ref="K230">_xlfn.IFS(J230&gt;60, J230-60, J230&lt;60, J230, J230=60, 0)</f>
        <v>#VALUE!</v>
      </c>
      <c r="L230" s="1" t="e">
        <f t="shared" si="89"/>
        <v>#VALUE!</v>
      </c>
      <c r="M230" s="3" t="e">
        <f t="shared" si="90"/>
        <v>#VALUE!</v>
      </c>
      <c r="N230" s="1" t="e">
        <f t="shared" si="91"/>
        <v>#VALUE!</v>
      </c>
      <c r="O230" s="2" t="str">
        <f t="shared" si="92"/>
        <v/>
      </c>
      <c r="P230" s="1" t="str">
        <f t="shared" si="85"/>
        <v/>
      </c>
      <c r="Q230" s="47" t="str">
        <f>IF(COUNTA(C230)=1,(Table1[[#This Row],[min]]+(Table1[[#This Row],[sec]]/60))/1440, "")</f>
        <v/>
      </c>
    </row>
    <row r="231" spans="1:17" x14ac:dyDescent="0.25">
      <c r="A231" s="1">
        <v>230</v>
      </c>
      <c r="B231" s="6"/>
      <c r="D231" s="1" t="e">
        <f t="shared" ref="D231:D294" si="93">VALUE(RIGHT(C231, 2))</f>
        <v>#VALUE!</v>
      </c>
      <c r="E231" s="1" t="e">
        <f t="shared" ref="E231:E294" si="94">VALUE(LEFT(C231,1))</f>
        <v>#VALUE!</v>
      </c>
      <c r="F231" s="1" t="e">
        <f>AVERAGE($E$2:E231)</f>
        <v>#VALUE!</v>
      </c>
      <c r="G231" s="1" t="e">
        <f t="shared" si="86"/>
        <v>#VALUE!</v>
      </c>
      <c r="H231" s="1" t="e">
        <f t="shared" si="87"/>
        <v>#VALUE!</v>
      </c>
      <c r="I231" s="1" t="e">
        <f>AVERAGE($D$2:D231)</f>
        <v>#VALUE!</v>
      </c>
      <c r="J231" s="1" t="e">
        <f t="shared" si="88"/>
        <v>#VALUE!</v>
      </c>
      <c r="K231" s="4" t="e" cm="1">
        <f t="array" ref="K231">_xlfn.IFS(J231&gt;60, J231-60, J231&lt;60, J231, J231=60, 0)</f>
        <v>#VALUE!</v>
      </c>
      <c r="L231" s="1" t="e">
        <f t="shared" si="89"/>
        <v>#VALUE!</v>
      </c>
      <c r="M231" s="3" t="e">
        <f t="shared" si="90"/>
        <v>#VALUE!</v>
      </c>
      <c r="N231" s="1" t="e">
        <f t="shared" si="91"/>
        <v>#VALUE!</v>
      </c>
      <c r="O231" s="2" t="str">
        <f t="shared" si="92"/>
        <v/>
      </c>
      <c r="P231" s="1" t="str">
        <f t="shared" si="85"/>
        <v/>
      </c>
      <c r="Q231" s="47" t="str">
        <f>IF(COUNTA(C231)=1,(Table1[[#This Row],[min]]+(Table1[[#This Row],[sec]]/60))/1440, "")</f>
        <v/>
      </c>
    </row>
    <row r="232" spans="1:17" x14ac:dyDescent="0.25">
      <c r="A232" s="1">
        <v>231</v>
      </c>
      <c r="B232" s="6"/>
      <c r="D232" s="1" t="e">
        <f t="shared" si="93"/>
        <v>#VALUE!</v>
      </c>
      <c r="E232" s="1" t="e">
        <f t="shared" si="94"/>
        <v>#VALUE!</v>
      </c>
      <c r="F232" s="1" t="e">
        <f>AVERAGE($E$2:E232)</f>
        <v>#VALUE!</v>
      </c>
      <c r="G232" s="1" t="e">
        <f t="shared" si="86"/>
        <v>#VALUE!</v>
      </c>
      <c r="H232" s="1" t="e">
        <f t="shared" si="87"/>
        <v>#VALUE!</v>
      </c>
      <c r="I232" s="1" t="e">
        <f>AVERAGE($D$2:D232)</f>
        <v>#VALUE!</v>
      </c>
      <c r="J232" s="1" t="e">
        <f t="shared" si="88"/>
        <v>#VALUE!</v>
      </c>
      <c r="K232" s="4" t="e" cm="1">
        <f t="array" ref="K232">_xlfn.IFS(J232&gt;60, J232-60, J232&lt;60, J232, J232=60, 0)</f>
        <v>#VALUE!</v>
      </c>
      <c r="L232" s="1" t="e">
        <f t="shared" si="89"/>
        <v>#VALUE!</v>
      </c>
      <c r="M232" s="3" t="e">
        <f t="shared" si="90"/>
        <v>#VALUE!</v>
      </c>
      <c r="N232" s="1" t="e">
        <f t="shared" si="91"/>
        <v>#VALUE!</v>
      </c>
      <c r="O232" s="2" t="str">
        <f t="shared" si="92"/>
        <v/>
      </c>
      <c r="P232" s="1" t="str">
        <f t="shared" si="85"/>
        <v/>
      </c>
      <c r="Q232" s="47" t="str">
        <f>IF(COUNTA(C232)=1,(Table1[[#This Row],[min]]+(Table1[[#This Row],[sec]]/60))/1440, "")</f>
        <v/>
      </c>
    </row>
    <row r="233" spans="1:17" x14ac:dyDescent="0.25">
      <c r="A233" s="1">
        <v>232</v>
      </c>
      <c r="B233" s="6"/>
      <c r="D233" s="1" t="e">
        <f t="shared" si="93"/>
        <v>#VALUE!</v>
      </c>
      <c r="E233" s="1" t="e">
        <f t="shared" si="94"/>
        <v>#VALUE!</v>
      </c>
      <c r="F233" s="1" t="e">
        <f>AVERAGE($E$2:E233)</f>
        <v>#VALUE!</v>
      </c>
      <c r="G233" s="1" t="e">
        <f t="shared" si="86"/>
        <v>#VALUE!</v>
      </c>
      <c r="H233" s="1" t="e">
        <f t="shared" si="87"/>
        <v>#VALUE!</v>
      </c>
      <c r="I233" s="1" t="e">
        <f>AVERAGE($D$2:D233)</f>
        <v>#VALUE!</v>
      </c>
      <c r="J233" s="1" t="e">
        <f t="shared" si="88"/>
        <v>#VALUE!</v>
      </c>
      <c r="K233" s="4" t="e" cm="1">
        <f t="array" ref="K233">_xlfn.IFS(J233&gt;60, J233-60, J233&lt;60, J233, J233=60, 0)</f>
        <v>#VALUE!</v>
      </c>
      <c r="L233" s="1" t="e">
        <f t="shared" si="89"/>
        <v>#VALUE!</v>
      </c>
      <c r="M233" s="3" t="e">
        <f t="shared" si="90"/>
        <v>#VALUE!</v>
      </c>
      <c r="N233" s="1" t="e">
        <f t="shared" si="91"/>
        <v>#VALUE!</v>
      </c>
      <c r="O233" s="2" t="str">
        <f t="shared" si="92"/>
        <v/>
      </c>
      <c r="P233" s="1" t="str">
        <f t="shared" si="85"/>
        <v/>
      </c>
      <c r="Q233" s="47" t="str">
        <f>IF(COUNTA(C233)=1,(Table1[[#This Row],[min]]+(Table1[[#This Row],[sec]]/60))/1440, "")</f>
        <v/>
      </c>
    </row>
    <row r="234" spans="1:17" x14ac:dyDescent="0.25">
      <c r="A234" s="1">
        <v>233</v>
      </c>
      <c r="B234" s="6"/>
      <c r="D234" s="1" t="e">
        <f t="shared" si="93"/>
        <v>#VALUE!</v>
      </c>
      <c r="E234" s="1" t="e">
        <f t="shared" si="94"/>
        <v>#VALUE!</v>
      </c>
      <c r="F234" s="1" t="e">
        <f>AVERAGE($E$2:E234)</f>
        <v>#VALUE!</v>
      </c>
      <c r="G234" s="1" t="e">
        <f t="shared" si="86"/>
        <v>#VALUE!</v>
      </c>
      <c r="H234" s="1" t="e">
        <f t="shared" si="87"/>
        <v>#VALUE!</v>
      </c>
      <c r="I234" s="1" t="e">
        <f>AVERAGE($D$2:D234)</f>
        <v>#VALUE!</v>
      </c>
      <c r="J234" s="1" t="e">
        <f t="shared" si="88"/>
        <v>#VALUE!</v>
      </c>
      <c r="K234" s="4" t="e" cm="1">
        <f t="array" ref="K234">_xlfn.IFS(J234&gt;60, J234-60, J234&lt;60, J234, J234=60, 0)</f>
        <v>#VALUE!</v>
      </c>
      <c r="L234" s="1" t="e">
        <f t="shared" si="89"/>
        <v>#VALUE!</v>
      </c>
      <c r="M234" s="3" t="e">
        <f t="shared" si="90"/>
        <v>#VALUE!</v>
      </c>
      <c r="N234" s="1" t="e">
        <f t="shared" si="91"/>
        <v>#VALUE!</v>
      </c>
      <c r="O234" s="2" t="str">
        <f t="shared" si="92"/>
        <v/>
      </c>
      <c r="P234" s="1" t="str">
        <f t="shared" si="85"/>
        <v/>
      </c>
      <c r="Q234" s="47" t="str">
        <f>IF(COUNTA(C234)=1,(Table1[[#This Row],[min]]+(Table1[[#This Row],[sec]]/60))/1440, "")</f>
        <v/>
      </c>
    </row>
    <row r="235" spans="1:17" x14ac:dyDescent="0.25">
      <c r="A235" s="1">
        <v>234</v>
      </c>
      <c r="B235" s="6"/>
      <c r="D235" s="1" t="e">
        <f t="shared" si="93"/>
        <v>#VALUE!</v>
      </c>
      <c r="E235" s="1" t="e">
        <f t="shared" si="94"/>
        <v>#VALUE!</v>
      </c>
      <c r="F235" s="1" t="e">
        <f>AVERAGE($E$2:E235)</f>
        <v>#VALUE!</v>
      </c>
      <c r="G235" s="1" t="e">
        <f t="shared" si="86"/>
        <v>#VALUE!</v>
      </c>
      <c r="H235" s="1" t="e">
        <f t="shared" si="87"/>
        <v>#VALUE!</v>
      </c>
      <c r="I235" s="1" t="e">
        <f>AVERAGE($D$2:D235)</f>
        <v>#VALUE!</v>
      </c>
      <c r="J235" s="1" t="e">
        <f t="shared" si="88"/>
        <v>#VALUE!</v>
      </c>
      <c r="K235" s="4" t="e" cm="1">
        <f t="array" ref="K235">_xlfn.IFS(J235&gt;60, J235-60, J235&lt;60, J235, J235=60, 0)</f>
        <v>#VALUE!</v>
      </c>
      <c r="L235" s="1" t="e">
        <f t="shared" si="89"/>
        <v>#VALUE!</v>
      </c>
      <c r="M235" s="3" t="e">
        <f t="shared" si="90"/>
        <v>#VALUE!</v>
      </c>
      <c r="N235" s="1" t="e">
        <f t="shared" si="91"/>
        <v>#VALUE!</v>
      </c>
      <c r="O235" s="2" t="str">
        <f t="shared" si="92"/>
        <v/>
      </c>
      <c r="P235" s="1" t="str">
        <f t="shared" si="85"/>
        <v/>
      </c>
      <c r="Q235" s="47" t="str">
        <f>IF(COUNTA(C235)=1,(Table1[[#This Row],[min]]+(Table1[[#This Row],[sec]]/60))/1440, "")</f>
        <v/>
      </c>
    </row>
    <row r="236" spans="1:17" x14ac:dyDescent="0.25">
      <c r="A236" s="1">
        <v>235</v>
      </c>
      <c r="B236" s="6"/>
      <c r="D236" s="1" t="e">
        <f t="shared" si="93"/>
        <v>#VALUE!</v>
      </c>
      <c r="E236" s="1" t="e">
        <f t="shared" si="94"/>
        <v>#VALUE!</v>
      </c>
      <c r="F236" s="1" t="e">
        <f>AVERAGE($E$2:E236)</f>
        <v>#VALUE!</v>
      </c>
      <c r="G236" s="1" t="e">
        <f t="shared" si="86"/>
        <v>#VALUE!</v>
      </c>
      <c r="H236" s="1" t="e">
        <f t="shared" si="87"/>
        <v>#VALUE!</v>
      </c>
      <c r="I236" s="1" t="e">
        <f>AVERAGE($D$2:D236)</f>
        <v>#VALUE!</v>
      </c>
      <c r="J236" s="1" t="e">
        <f t="shared" si="88"/>
        <v>#VALUE!</v>
      </c>
      <c r="K236" s="4" t="e" cm="1">
        <f t="array" ref="K236">_xlfn.IFS(J236&gt;60, J236-60, J236&lt;60, J236, J236=60, 0)</f>
        <v>#VALUE!</v>
      </c>
      <c r="L236" s="1" t="e">
        <f t="shared" si="89"/>
        <v>#VALUE!</v>
      </c>
      <c r="M236" s="3" t="e">
        <f t="shared" si="90"/>
        <v>#VALUE!</v>
      </c>
      <c r="N236" s="1" t="e">
        <f t="shared" si="91"/>
        <v>#VALUE!</v>
      </c>
      <c r="O236" s="2" t="str">
        <f t="shared" si="92"/>
        <v/>
      </c>
      <c r="P236" s="1" t="str">
        <f t="shared" si="85"/>
        <v/>
      </c>
      <c r="Q236" s="47" t="str">
        <f>IF(COUNTA(C236)=1,(Table1[[#This Row],[min]]+(Table1[[#This Row],[sec]]/60))/1440, "")</f>
        <v/>
      </c>
    </row>
    <row r="237" spans="1:17" x14ac:dyDescent="0.25">
      <c r="A237" s="1">
        <v>236</v>
      </c>
      <c r="B237" s="6"/>
      <c r="D237" s="1" t="e">
        <f t="shared" si="93"/>
        <v>#VALUE!</v>
      </c>
      <c r="E237" s="1" t="e">
        <f t="shared" si="94"/>
        <v>#VALUE!</v>
      </c>
      <c r="F237" s="1" t="e">
        <f>AVERAGE($E$2:E237)</f>
        <v>#VALUE!</v>
      </c>
      <c r="G237" s="1" t="e">
        <f t="shared" si="86"/>
        <v>#VALUE!</v>
      </c>
      <c r="H237" s="1" t="e">
        <f t="shared" si="87"/>
        <v>#VALUE!</v>
      </c>
      <c r="I237" s="1" t="e">
        <f>AVERAGE($D$2:D237)</f>
        <v>#VALUE!</v>
      </c>
      <c r="J237" s="1" t="e">
        <f t="shared" si="88"/>
        <v>#VALUE!</v>
      </c>
      <c r="K237" s="4" t="e" cm="1">
        <f t="array" ref="K237">_xlfn.IFS(J237&gt;60, J237-60, J237&lt;60, J237, J237=60, 0)</f>
        <v>#VALUE!</v>
      </c>
      <c r="L237" s="1" t="e">
        <f t="shared" si="89"/>
        <v>#VALUE!</v>
      </c>
      <c r="M237" s="3" t="e">
        <f t="shared" si="90"/>
        <v>#VALUE!</v>
      </c>
      <c r="N237" s="1" t="e">
        <f t="shared" si="91"/>
        <v>#VALUE!</v>
      </c>
      <c r="O237" s="2" t="str">
        <f t="shared" si="92"/>
        <v/>
      </c>
      <c r="P237" s="1" t="str">
        <f t="shared" si="85"/>
        <v/>
      </c>
      <c r="Q237" s="47" t="str">
        <f>IF(COUNTA(C237)=1,(Table1[[#This Row],[min]]+(Table1[[#This Row],[sec]]/60))/1440, "")</f>
        <v/>
      </c>
    </row>
    <row r="238" spans="1:17" x14ac:dyDescent="0.25">
      <c r="A238" s="1">
        <v>237</v>
      </c>
      <c r="B238" s="6"/>
      <c r="D238" s="1" t="e">
        <f t="shared" si="93"/>
        <v>#VALUE!</v>
      </c>
      <c r="E238" s="1" t="e">
        <f t="shared" si="94"/>
        <v>#VALUE!</v>
      </c>
      <c r="F238" s="1" t="e">
        <f>AVERAGE($E$2:E238)</f>
        <v>#VALUE!</v>
      </c>
      <c r="G238" s="1" t="e">
        <f t="shared" si="86"/>
        <v>#VALUE!</v>
      </c>
      <c r="H238" s="1" t="e">
        <f t="shared" si="87"/>
        <v>#VALUE!</v>
      </c>
      <c r="I238" s="1" t="e">
        <f>AVERAGE($D$2:D238)</f>
        <v>#VALUE!</v>
      </c>
      <c r="J238" s="1" t="e">
        <f t="shared" si="88"/>
        <v>#VALUE!</v>
      </c>
      <c r="K238" s="4" t="e" cm="1">
        <f t="array" ref="K238">_xlfn.IFS(J238&gt;60, J238-60, J238&lt;60, J238, J238=60, 0)</f>
        <v>#VALUE!</v>
      </c>
      <c r="L238" s="1" t="e">
        <f t="shared" si="89"/>
        <v>#VALUE!</v>
      </c>
      <c r="M238" s="3" t="e">
        <f t="shared" si="90"/>
        <v>#VALUE!</v>
      </c>
      <c r="N238" s="1" t="e">
        <f t="shared" si="91"/>
        <v>#VALUE!</v>
      </c>
      <c r="O238" s="2" t="str">
        <f t="shared" si="92"/>
        <v/>
      </c>
      <c r="P238" s="1" t="str">
        <f t="shared" si="85"/>
        <v/>
      </c>
      <c r="Q238" s="47" t="str">
        <f>IF(COUNTA(C238)=1,(Table1[[#This Row],[min]]+(Table1[[#This Row],[sec]]/60))/1440, "")</f>
        <v/>
      </c>
    </row>
    <row r="239" spans="1:17" x14ac:dyDescent="0.25">
      <c r="A239" s="1">
        <v>238</v>
      </c>
      <c r="B239" s="6"/>
      <c r="D239" s="1" t="e">
        <f t="shared" si="93"/>
        <v>#VALUE!</v>
      </c>
      <c r="E239" s="1" t="e">
        <f t="shared" si="94"/>
        <v>#VALUE!</v>
      </c>
      <c r="F239" s="1" t="e">
        <f>AVERAGE($E$2:E239)</f>
        <v>#VALUE!</v>
      </c>
      <c r="G239" s="1" t="e">
        <f t="shared" si="86"/>
        <v>#VALUE!</v>
      </c>
      <c r="H239" s="1" t="e">
        <f t="shared" si="87"/>
        <v>#VALUE!</v>
      </c>
      <c r="I239" s="1" t="e">
        <f>AVERAGE($D$2:D239)</f>
        <v>#VALUE!</v>
      </c>
      <c r="J239" s="1" t="e">
        <f t="shared" si="88"/>
        <v>#VALUE!</v>
      </c>
      <c r="K239" s="4" t="e" cm="1">
        <f t="array" ref="K239">_xlfn.IFS(J239&gt;60, J239-60, J239&lt;60, J239, J239=60, 0)</f>
        <v>#VALUE!</v>
      </c>
      <c r="L239" s="1" t="e">
        <f t="shared" si="89"/>
        <v>#VALUE!</v>
      </c>
      <c r="M239" s="3" t="e">
        <f t="shared" si="90"/>
        <v>#VALUE!</v>
      </c>
      <c r="N239" s="1" t="e">
        <f t="shared" si="91"/>
        <v>#VALUE!</v>
      </c>
      <c r="O239" s="2" t="str">
        <f t="shared" si="92"/>
        <v/>
      </c>
      <c r="P239" s="1" t="str">
        <f t="shared" si="85"/>
        <v/>
      </c>
      <c r="Q239" s="47" t="str">
        <f>IF(COUNTA(C239)=1,(Table1[[#This Row],[min]]+(Table1[[#This Row],[sec]]/60))/1440, "")</f>
        <v/>
      </c>
    </row>
    <row r="240" spans="1:17" x14ac:dyDescent="0.25">
      <c r="A240" s="1">
        <v>239</v>
      </c>
      <c r="B240" s="6"/>
      <c r="D240" s="1" t="e">
        <f t="shared" si="93"/>
        <v>#VALUE!</v>
      </c>
      <c r="E240" s="1" t="e">
        <f t="shared" si="94"/>
        <v>#VALUE!</v>
      </c>
      <c r="F240" s="1" t="e">
        <f>AVERAGE($E$2:E240)</f>
        <v>#VALUE!</v>
      </c>
      <c r="G240" s="1" t="e">
        <f t="shared" si="86"/>
        <v>#VALUE!</v>
      </c>
      <c r="H240" s="1" t="e">
        <f t="shared" si="87"/>
        <v>#VALUE!</v>
      </c>
      <c r="I240" s="1" t="e">
        <f>AVERAGE($D$2:D240)</f>
        <v>#VALUE!</v>
      </c>
      <c r="J240" s="1" t="e">
        <f t="shared" si="88"/>
        <v>#VALUE!</v>
      </c>
      <c r="K240" s="4" t="e" cm="1">
        <f t="array" ref="K240">_xlfn.IFS(J240&gt;60, J240-60, J240&lt;60, J240, J240=60, 0)</f>
        <v>#VALUE!</v>
      </c>
      <c r="L240" s="1" t="e">
        <f t="shared" si="89"/>
        <v>#VALUE!</v>
      </c>
      <c r="M240" s="3" t="e">
        <f t="shared" si="90"/>
        <v>#VALUE!</v>
      </c>
      <c r="N240" s="1" t="e">
        <f t="shared" si="91"/>
        <v>#VALUE!</v>
      </c>
      <c r="O240" s="2" t="str">
        <f t="shared" si="92"/>
        <v/>
      </c>
      <c r="P240" s="1" t="str">
        <f t="shared" si="85"/>
        <v/>
      </c>
      <c r="Q240" s="47" t="str">
        <f>IF(COUNTA(C240)=1,(Table1[[#This Row],[min]]+(Table1[[#This Row],[sec]]/60))/1440, "")</f>
        <v/>
      </c>
    </row>
    <row r="241" spans="1:17" x14ac:dyDescent="0.25">
      <c r="A241" s="1">
        <v>240</v>
      </c>
      <c r="B241" s="6"/>
      <c r="D241" s="1" t="e">
        <f t="shared" si="93"/>
        <v>#VALUE!</v>
      </c>
      <c r="E241" s="1" t="e">
        <f t="shared" si="94"/>
        <v>#VALUE!</v>
      </c>
      <c r="F241" s="1" t="e">
        <f>AVERAGE($E$2:E241)</f>
        <v>#VALUE!</v>
      </c>
      <c r="G241" s="1" t="e">
        <f t="shared" si="86"/>
        <v>#VALUE!</v>
      </c>
      <c r="H241" s="1" t="e">
        <f t="shared" si="87"/>
        <v>#VALUE!</v>
      </c>
      <c r="I241" s="1" t="e">
        <f>AVERAGE($D$2:D241)</f>
        <v>#VALUE!</v>
      </c>
      <c r="J241" s="1" t="e">
        <f t="shared" si="88"/>
        <v>#VALUE!</v>
      </c>
      <c r="K241" s="4" t="e" cm="1">
        <f t="array" ref="K241">_xlfn.IFS(J241&gt;60, J241-60, J241&lt;60, J241, J241=60, 0)</f>
        <v>#VALUE!</v>
      </c>
      <c r="L241" s="1" t="e">
        <f t="shared" si="89"/>
        <v>#VALUE!</v>
      </c>
      <c r="M241" s="3" t="e">
        <f t="shared" si="90"/>
        <v>#VALUE!</v>
      </c>
      <c r="N241" s="1" t="e">
        <f t="shared" si="91"/>
        <v>#VALUE!</v>
      </c>
      <c r="O241" s="2" t="str">
        <f t="shared" si="92"/>
        <v/>
      </c>
      <c r="P241" s="1" t="str">
        <f t="shared" si="85"/>
        <v/>
      </c>
      <c r="Q241" s="47" t="str">
        <f>IF(COUNTA(C241)=1,(Table1[[#This Row],[min]]+(Table1[[#This Row],[sec]]/60))/1440, "")</f>
        <v/>
      </c>
    </row>
    <row r="242" spans="1:17" x14ac:dyDescent="0.25">
      <c r="A242" s="1">
        <v>241</v>
      </c>
      <c r="B242" s="6"/>
      <c r="D242" s="1" t="e">
        <f t="shared" si="93"/>
        <v>#VALUE!</v>
      </c>
      <c r="E242" s="1" t="e">
        <f t="shared" si="94"/>
        <v>#VALUE!</v>
      </c>
      <c r="F242" s="1" t="e">
        <f>AVERAGE($E$2:E242)</f>
        <v>#VALUE!</v>
      </c>
      <c r="G242" s="1" t="e">
        <f t="shared" si="86"/>
        <v>#VALUE!</v>
      </c>
      <c r="H242" s="1" t="e">
        <f t="shared" si="87"/>
        <v>#VALUE!</v>
      </c>
      <c r="I242" s="1" t="e">
        <f>AVERAGE($D$2:D242)</f>
        <v>#VALUE!</v>
      </c>
      <c r="J242" s="1" t="e">
        <f t="shared" si="88"/>
        <v>#VALUE!</v>
      </c>
      <c r="K242" s="4" t="e" cm="1">
        <f t="array" ref="K242">_xlfn.IFS(J242&gt;60, J242-60, J242&lt;60, J242, J242=60, 0)</f>
        <v>#VALUE!</v>
      </c>
      <c r="L242" s="1" t="e">
        <f t="shared" si="89"/>
        <v>#VALUE!</v>
      </c>
      <c r="M242" s="3" t="e">
        <f t="shared" si="90"/>
        <v>#VALUE!</v>
      </c>
      <c r="N242" s="1" t="e">
        <f t="shared" si="91"/>
        <v>#VALUE!</v>
      </c>
      <c r="O242" s="2" t="str">
        <f t="shared" si="92"/>
        <v/>
      </c>
      <c r="P242" s="1" t="str">
        <f t="shared" si="85"/>
        <v/>
      </c>
      <c r="Q242" s="47" t="str">
        <f>IF(COUNTA(C242)=1,(Table1[[#This Row],[min]]+(Table1[[#This Row],[sec]]/60))/1440, "")</f>
        <v/>
      </c>
    </row>
    <row r="243" spans="1:17" x14ac:dyDescent="0.25">
      <c r="A243" s="1">
        <v>242</v>
      </c>
      <c r="B243" s="6"/>
      <c r="D243" s="1" t="e">
        <f t="shared" si="93"/>
        <v>#VALUE!</v>
      </c>
      <c r="E243" s="1" t="e">
        <f t="shared" si="94"/>
        <v>#VALUE!</v>
      </c>
      <c r="F243" s="1" t="e">
        <f>AVERAGE($E$2:E243)</f>
        <v>#VALUE!</v>
      </c>
      <c r="G243" s="1" t="e">
        <f t="shared" si="86"/>
        <v>#VALUE!</v>
      </c>
      <c r="H243" s="1" t="e">
        <f t="shared" si="87"/>
        <v>#VALUE!</v>
      </c>
      <c r="I243" s="1" t="e">
        <f>AVERAGE($D$2:D243)</f>
        <v>#VALUE!</v>
      </c>
      <c r="J243" s="1" t="e">
        <f t="shared" si="88"/>
        <v>#VALUE!</v>
      </c>
      <c r="K243" s="4" t="e" cm="1">
        <f t="array" ref="K243">_xlfn.IFS(J243&gt;60, J243-60, J243&lt;60, J243, J243=60, 0)</f>
        <v>#VALUE!</v>
      </c>
      <c r="L243" s="1" t="e">
        <f t="shared" si="89"/>
        <v>#VALUE!</v>
      </c>
      <c r="M243" s="3" t="e">
        <f t="shared" si="90"/>
        <v>#VALUE!</v>
      </c>
      <c r="N243" s="1" t="e">
        <f t="shared" si="91"/>
        <v>#VALUE!</v>
      </c>
      <c r="O243" s="2" t="str">
        <f t="shared" si="92"/>
        <v/>
      </c>
      <c r="P243" s="1" t="str">
        <f t="shared" si="85"/>
        <v/>
      </c>
      <c r="Q243" s="47" t="str">
        <f>IF(COUNTA(C243)=1,(Table1[[#This Row],[min]]+(Table1[[#This Row],[sec]]/60))/1440, "")</f>
        <v/>
      </c>
    </row>
    <row r="244" spans="1:17" x14ac:dyDescent="0.25">
      <c r="A244" s="1">
        <v>243</v>
      </c>
      <c r="B244" s="6"/>
      <c r="D244" s="1" t="e">
        <f t="shared" si="93"/>
        <v>#VALUE!</v>
      </c>
      <c r="E244" s="1" t="e">
        <f t="shared" si="94"/>
        <v>#VALUE!</v>
      </c>
      <c r="F244" s="1" t="e">
        <f>AVERAGE($E$2:E244)</f>
        <v>#VALUE!</v>
      </c>
      <c r="G244" s="1" t="e">
        <f t="shared" si="86"/>
        <v>#VALUE!</v>
      </c>
      <c r="H244" s="1" t="e">
        <f t="shared" si="87"/>
        <v>#VALUE!</v>
      </c>
      <c r="I244" s="1" t="e">
        <f>AVERAGE($D$2:D244)</f>
        <v>#VALUE!</v>
      </c>
      <c r="J244" s="1" t="e">
        <f t="shared" si="88"/>
        <v>#VALUE!</v>
      </c>
      <c r="K244" s="4" t="e" cm="1">
        <f t="array" ref="K244">_xlfn.IFS(J244&gt;60, J244-60, J244&lt;60, J244, J244=60, 0)</f>
        <v>#VALUE!</v>
      </c>
      <c r="L244" s="1" t="e">
        <f t="shared" si="89"/>
        <v>#VALUE!</v>
      </c>
      <c r="M244" s="3" t="e">
        <f t="shared" si="90"/>
        <v>#VALUE!</v>
      </c>
      <c r="N244" s="1" t="e">
        <f t="shared" si="91"/>
        <v>#VALUE!</v>
      </c>
      <c r="O244" s="2" t="str">
        <f t="shared" si="92"/>
        <v/>
      </c>
      <c r="P244" s="1" t="str">
        <f t="shared" si="85"/>
        <v/>
      </c>
      <c r="Q244" s="47" t="str">
        <f>IF(COUNTA(C244)=1,(Table1[[#This Row],[min]]+(Table1[[#This Row],[sec]]/60))/1440, "")</f>
        <v/>
      </c>
    </row>
    <row r="245" spans="1:17" x14ac:dyDescent="0.25">
      <c r="A245" s="1">
        <v>244</v>
      </c>
      <c r="B245" s="6"/>
      <c r="D245" s="1" t="e">
        <f t="shared" si="93"/>
        <v>#VALUE!</v>
      </c>
      <c r="E245" s="1" t="e">
        <f t="shared" si="94"/>
        <v>#VALUE!</v>
      </c>
      <c r="F245" s="1" t="e">
        <f>AVERAGE($E$2:E245)</f>
        <v>#VALUE!</v>
      </c>
      <c r="G245" s="1" t="e">
        <f t="shared" si="86"/>
        <v>#VALUE!</v>
      </c>
      <c r="H245" s="1" t="e">
        <f t="shared" si="87"/>
        <v>#VALUE!</v>
      </c>
      <c r="I245" s="1" t="e">
        <f>AVERAGE($D$2:D245)</f>
        <v>#VALUE!</v>
      </c>
      <c r="J245" s="1" t="e">
        <f t="shared" si="88"/>
        <v>#VALUE!</v>
      </c>
      <c r="K245" s="4" t="e" cm="1">
        <f t="array" ref="K245">_xlfn.IFS(J245&gt;60, J245-60, J245&lt;60, J245, J245=60, 0)</f>
        <v>#VALUE!</v>
      </c>
      <c r="L245" s="1" t="e">
        <f t="shared" si="89"/>
        <v>#VALUE!</v>
      </c>
      <c r="M245" s="3" t="e">
        <f t="shared" si="90"/>
        <v>#VALUE!</v>
      </c>
      <c r="N245" s="1" t="e">
        <f t="shared" si="91"/>
        <v>#VALUE!</v>
      </c>
      <c r="O245" s="2" t="str">
        <f t="shared" si="92"/>
        <v/>
      </c>
      <c r="P245" s="1" t="str">
        <f t="shared" si="85"/>
        <v/>
      </c>
      <c r="Q245" s="47" t="str">
        <f>IF(COUNTA(C245)=1,(Table1[[#This Row],[min]]+(Table1[[#This Row],[sec]]/60))/1440, "")</f>
        <v/>
      </c>
    </row>
    <row r="246" spans="1:17" x14ac:dyDescent="0.25">
      <c r="A246" s="1">
        <v>245</v>
      </c>
      <c r="B246" s="6"/>
      <c r="D246" s="1" t="e">
        <f t="shared" si="93"/>
        <v>#VALUE!</v>
      </c>
      <c r="E246" s="1" t="e">
        <f t="shared" si="94"/>
        <v>#VALUE!</v>
      </c>
      <c r="F246" s="1" t="e">
        <f>AVERAGE($E$2:E246)</f>
        <v>#VALUE!</v>
      </c>
      <c r="G246" s="1" t="e">
        <f t="shared" si="86"/>
        <v>#VALUE!</v>
      </c>
      <c r="H246" s="1" t="e">
        <f t="shared" si="87"/>
        <v>#VALUE!</v>
      </c>
      <c r="I246" s="1" t="e">
        <f>AVERAGE($D$2:D246)</f>
        <v>#VALUE!</v>
      </c>
      <c r="J246" s="1" t="e">
        <f t="shared" si="88"/>
        <v>#VALUE!</v>
      </c>
      <c r="K246" s="4" t="e" cm="1">
        <f t="array" ref="K246">_xlfn.IFS(J246&gt;60, J246-60, J246&lt;60, J246, J246=60, 0)</f>
        <v>#VALUE!</v>
      </c>
      <c r="L246" s="1" t="e">
        <f t="shared" si="89"/>
        <v>#VALUE!</v>
      </c>
      <c r="M246" s="3" t="e">
        <f t="shared" si="90"/>
        <v>#VALUE!</v>
      </c>
      <c r="N246" s="1" t="e">
        <f t="shared" si="91"/>
        <v>#VALUE!</v>
      </c>
      <c r="O246" s="2" t="str">
        <f t="shared" si="92"/>
        <v/>
      </c>
      <c r="P246" s="1" t="str">
        <f t="shared" si="85"/>
        <v/>
      </c>
      <c r="Q246" s="47" t="str">
        <f>IF(COUNTA(C246)=1,(Table1[[#This Row],[min]]+(Table1[[#This Row],[sec]]/60))/1440, "")</f>
        <v/>
      </c>
    </row>
    <row r="247" spans="1:17" x14ac:dyDescent="0.25">
      <c r="A247" s="1">
        <v>246</v>
      </c>
      <c r="B247" s="6"/>
      <c r="D247" s="1" t="e">
        <f t="shared" si="93"/>
        <v>#VALUE!</v>
      </c>
      <c r="E247" s="1" t="e">
        <f t="shared" si="94"/>
        <v>#VALUE!</v>
      </c>
      <c r="F247" s="1" t="e">
        <f>AVERAGE($E$2:E247)</f>
        <v>#VALUE!</v>
      </c>
      <c r="G247" s="1" t="e">
        <f t="shared" si="86"/>
        <v>#VALUE!</v>
      </c>
      <c r="H247" s="1" t="e">
        <f t="shared" si="87"/>
        <v>#VALUE!</v>
      </c>
      <c r="I247" s="1" t="e">
        <f>AVERAGE($D$2:D247)</f>
        <v>#VALUE!</v>
      </c>
      <c r="J247" s="1" t="e">
        <f t="shared" si="88"/>
        <v>#VALUE!</v>
      </c>
      <c r="K247" s="4" t="e" cm="1">
        <f t="array" ref="K247">_xlfn.IFS(J247&gt;60, J247-60, J247&lt;60, J247, J247=60, 0)</f>
        <v>#VALUE!</v>
      </c>
      <c r="L247" s="1" t="e">
        <f t="shared" si="89"/>
        <v>#VALUE!</v>
      </c>
      <c r="M247" s="3" t="e">
        <f t="shared" si="90"/>
        <v>#VALUE!</v>
      </c>
      <c r="N247" s="1" t="e">
        <f t="shared" si="91"/>
        <v>#VALUE!</v>
      </c>
      <c r="O247" s="2" t="str">
        <f t="shared" si="92"/>
        <v/>
      </c>
      <c r="P247" s="1" t="str">
        <f t="shared" si="85"/>
        <v/>
      </c>
      <c r="Q247" s="47" t="str">
        <f>IF(COUNTA(C247)=1,(Table1[[#This Row],[min]]+(Table1[[#This Row],[sec]]/60))/1440, "")</f>
        <v/>
      </c>
    </row>
    <row r="248" spans="1:17" x14ac:dyDescent="0.25">
      <c r="A248" s="1">
        <v>247</v>
      </c>
      <c r="B248" s="6"/>
      <c r="D248" s="1" t="e">
        <f t="shared" si="93"/>
        <v>#VALUE!</v>
      </c>
      <c r="E248" s="1" t="e">
        <f t="shared" si="94"/>
        <v>#VALUE!</v>
      </c>
      <c r="F248" s="1" t="e">
        <f>AVERAGE($E$2:E248)</f>
        <v>#VALUE!</v>
      </c>
      <c r="G248" s="1" t="e">
        <f t="shared" si="86"/>
        <v>#VALUE!</v>
      </c>
      <c r="H248" s="1" t="e">
        <f t="shared" si="87"/>
        <v>#VALUE!</v>
      </c>
      <c r="I248" s="1" t="e">
        <f>AVERAGE($D$2:D248)</f>
        <v>#VALUE!</v>
      </c>
      <c r="J248" s="1" t="e">
        <f t="shared" si="88"/>
        <v>#VALUE!</v>
      </c>
      <c r="K248" s="4" t="e" cm="1">
        <f t="array" ref="K248">_xlfn.IFS(J248&gt;60, J248-60, J248&lt;60, J248, J248=60, 0)</f>
        <v>#VALUE!</v>
      </c>
      <c r="L248" s="1" t="e">
        <f t="shared" si="89"/>
        <v>#VALUE!</v>
      </c>
      <c r="M248" s="3" t="e">
        <f t="shared" si="90"/>
        <v>#VALUE!</v>
      </c>
      <c r="N248" s="1" t="e">
        <f t="shared" si="91"/>
        <v>#VALUE!</v>
      </c>
      <c r="O248" s="2" t="str">
        <f t="shared" si="92"/>
        <v/>
      </c>
      <c r="P248" s="1" t="str">
        <f t="shared" si="85"/>
        <v/>
      </c>
      <c r="Q248" s="47" t="str">
        <f>IF(COUNTA(C248)=1,(Table1[[#This Row],[min]]+(Table1[[#This Row],[sec]]/60))/1440, "")</f>
        <v/>
      </c>
    </row>
    <row r="249" spans="1:17" x14ac:dyDescent="0.25">
      <c r="A249" s="1">
        <v>248</v>
      </c>
      <c r="B249" s="6"/>
      <c r="D249" s="1" t="e">
        <f t="shared" si="93"/>
        <v>#VALUE!</v>
      </c>
      <c r="E249" s="1" t="e">
        <f t="shared" si="94"/>
        <v>#VALUE!</v>
      </c>
      <c r="F249" s="1" t="e">
        <f>AVERAGE($E$2:E249)</f>
        <v>#VALUE!</v>
      </c>
      <c r="G249" s="1" t="e">
        <f t="shared" si="86"/>
        <v>#VALUE!</v>
      </c>
      <c r="H249" s="1" t="e">
        <f t="shared" si="87"/>
        <v>#VALUE!</v>
      </c>
      <c r="I249" s="1" t="e">
        <f>AVERAGE($D$2:D249)</f>
        <v>#VALUE!</v>
      </c>
      <c r="J249" s="1" t="e">
        <f t="shared" si="88"/>
        <v>#VALUE!</v>
      </c>
      <c r="K249" s="4" t="e" cm="1">
        <f t="array" ref="K249">_xlfn.IFS(J249&gt;60, J249-60, J249&lt;60, J249, J249=60, 0)</f>
        <v>#VALUE!</v>
      </c>
      <c r="L249" s="1" t="e">
        <f t="shared" si="89"/>
        <v>#VALUE!</v>
      </c>
      <c r="M249" s="3" t="e">
        <f t="shared" si="90"/>
        <v>#VALUE!</v>
      </c>
      <c r="N249" s="1" t="e">
        <f t="shared" si="91"/>
        <v>#VALUE!</v>
      </c>
      <c r="O249" s="2" t="str">
        <f t="shared" si="92"/>
        <v/>
      </c>
      <c r="P249" s="1" t="str">
        <f t="shared" si="85"/>
        <v/>
      </c>
      <c r="Q249" s="47" t="str">
        <f>IF(COUNTA(C249)=1,(Table1[[#This Row],[min]]+(Table1[[#This Row],[sec]]/60))/1440, "")</f>
        <v/>
      </c>
    </row>
    <row r="250" spans="1:17" x14ac:dyDescent="0.25">
      <c r="A250" s="1">
        <v>249</v>
      </c>
      <c r="B250" s="6"/>
      <c r="D250" s="1" t="e">
        <f t="shared" si="93"/>
        <v>#VALUE!</v>
      </c>
      <c r="E250" s="1" t="e">
        <f t="shared" si="94"/>
        <v>#VALUE!</v>
      </c>
      <c r="F250" s="1" t="e">
        <f>AVERAGE($E$2:E250)</f>
        <v>#VALUE!</v>
      </c>
      <c r="G250" s="1" t="e">
        <f t="shared" si="86"/>
        <v>#VALUE!</v>
      </c>
      <c r="H250" s="1" t="e">
        <f t="shared" si="87"/>
        <v>#VALUE!</v>
      </c>
      <c r="I250" s="1" t="e">
        <f>AVERAGE($D$2:D250)</f>
        <v>#VALUE!</v>
      </c>
      <c r="J250" s="1" t="e">
        <f t="shared" si="88"/>
        <v>#VALUE!</v>
      </c>
      <c r="K250" s="4" t="e" cm="1">
        <f t="array" ref="K250">_xlfn.IFS(J250&gt;60, J250-60, J250&lt;60, J250, J250=60, 0)</f>
        <v>#VALUE!</v>
      </c>
      <c r="L250" s="1" t="e">
        <f t="shared" si="89"/>
        <v>#VALUE!</v>
      </c>
      <c r="M250" s="3" t="e">
        <f t="shared" si="90"/>
        <v>#VALUE!</v>
      </c>
      <c r="N250" s="1" t="e">
        <f t="shared" si="91"/>
        <v>#VALUE!</v>
      </c>
      <c r="O250" s="2" t="str">
        <f t="shared" si="92"/>
        <v/>
      </c>
      <c r="P250" s="1" t="str">
        <f t="shared" si="85"/>
        <v/>
      </c>
      <c r="Q250" s="47" t="str">
        <f>IF(COUNTA(C250)=1,(Table1[[#This Row],[min]]+(Table1[[#This Row],[sec]]/60))/1440, "")</f>
        <v/>
      </c>
    </row>
    <row r="251" spans="1:17" x14ac:dyDescent="0.25">
      <c r="A251" s="1">
        <v>250</v>
      </c>
      <c r="B251" s="6"/>
      <c r="D251" s="1" t="e">
        <f t="shared" si="93"/>
        <v>#VALUE!</v>
      </c>
      <c r="E251" s="1" t="e">
        <f t="shared" si="94"/>
        <v>#VALUE!</v>
      </c>
      <c r="F251" s="1" t="e">
        <f>AVERAGE($E$2:E251)</f>
        <v>#VALUE!</v>
      </c>
      <c r="G251" s="1" t="e">
        <f t="shared" si="86"/>
        <v>#VALUE!</v>
      </c>
      <c r="H251" s="1" t="e">
        <f t="shared" si="87"/>
        <v>#VALUE!</v>
      </c>
      <c r="I251" s="1" t="e">
        <f>AVERAGE($D$2:D251)</f>
        <v>#VALUE!</v>
      </c>
      <c r="J251" s="1" t="e">
        <f t="shared" si="88"/>
        <v>#VALUE!</v>
      </c>
      <c r="K251" s="4" t="e" cm="1">
        <f t="array" ref="K251">_xlfn.IFS(J251&gt;60, J251-60, J251&lt;60, J251, J251=60, 0)</f>
        <v>#VALUE!</v>
      </c>
      <c r="L251" s="1" t="e">
        <f t="shared" si="89"/>
        <v>#VALUE!</v>
      </c>
      <c r="M251" s="3" t="e">
        <f t="shared" si="90"/>
        <v>#VALUE!</v>
      </c>
      <c r="N251" s="1" t="e">
        <f t="shared" si="91"/>
        <v>#VALUE!</v>
      </c>
      <c r="O251" s="2" t="str">
        <f t="shared" si="92"/>
        <v/>
      </c>
      <c r="P251" s="1" t="str">
        <f t="shared" si="85"/>
        <v/>
      </c>
      <c r="Q251" s="47" t="str">
        <f>IF(COUNTA(C251)=1,(Table1[[#This Row],[min]]+(Table1[[#This Row],[sec]]/60))/1440, "")</f>
        <v/>
      </c>
    </row>
    <row r="252" spans="1:17" x14ac:dyDescent="0.25">
      <c r="A252" s="1">
        <v>251</v>
      </c>
      <c r="B252" s="6"/>
      <c r="D252" s="1" t="e">
        <f t="shared" si="93"/>
        <v>#VALUE!</v>
      </c>
      <c r="E252" s="1" t="e">
        <f t="shared" si="94"/>
        <v>#VALUE!</v>
      </c>
      <c r="F252" s="1" t="e">
        <f>AVERAGE($E$2:E252)</f>
        <v>#VALUE!</v>
      </c>
      <c r="G252" s="1" t="e">
        <f t="shared" si="86"/>
        <v>#VALUE!</v>
      </c>
      <c r="H252" s="1" t="e">
        <f t="shared" si="87"/>
        <v>#VALUE!</v>
      </c>
      <c r="I252" s="1" t="e">
        <f>AVERAGE($D$2:D252)</f>
        <v>#VALUE!</v>
      </c>
      <c r="J252" s="1" t="e">
        <f t="shared" si="88"/>
        <v>#VALUE!</v>
      </c>
      <c r="K252" s="4" t="e" cm="1">
        <f t="array" ref="K252">_xlfn.IFS(J252&gt;60, J252-60, J252&lt;60, J252, J252=60, 0)</f>
        <v>#VALUE!</v>
      </c>
      <c r="L252" s="1" t="e">
        <f t="shared" si="89"/>
        <v>#VALUE!</v>
      </c>
      <c r="M252" s="3" t="e">
        <f t="shared" si="90"/>
        <v>#VALUE!</v>
      </c>
      <c r="N252" s="1" t="e">
        <f t="shared" si="91"/>
        <v>#VALUE!</v>
      </c>
      <c r="O252" s="2" t="str">
        <f t="shared" si="92"/>
        <v/>
      </c>
      <c r="P252" s="1" t="str">
        <f t="shared" si="85"/>
        <v/>
      </c>
      <c r="Q252" s="47" t="str">
        <f>IF(COUNTA(C252)=1,(Table1[[#This Row],[min]]+(Table1[[#This Row],[sec]]/60))/1440, "")</f>
        <v/>
      </c>
    </row>
    <row r="253" spans="1:17" x14ac:dyDescent="0.25">
      <c r="A253" s="1">
        <v>252</v>
      </c>
      <c r="B253" s="6"/>
      <c r="D253" s="1" t="e">
        <f t="shared" si="93"/>
        <v>#VALUE!</v>
      </c>
      <c r="E253" s="1" t="e">
        <f t="shared" si="94"/>
        <v>#VALUE!</v>
      </c>
      <c r="F253" s="1" t="e">
        <f>AVERAGE($E$2:E253)</f>
        <v>#VALUE!</v>
      </c>
      <c r="G253" s="1" t="e">
        <f t="shared" si="86"/>
        <v>#VALUE!</v>
      </c>
      <c r="H253" s="1" t="e">
        <f t="shared" si="87"/>
        <v>#VALUE!</v>
      </c>
      <c r="I253" s="1" t="e">
        <f>AVERAGE($D$2:D253)</f>
        <v>#VALUE!</v>
      </c>
      <c r="J253" s="1" t="e">
        <f t="shared" si="88"/>
        <v>#VALUE!</v>
      </c>
      <c r="K253" s="4" t="e" cm="1">
        <f t="array" ref="K253">_xlfn.IFS(J253&gt;60, J253-60, J253&lt;60, J253, J253=60, 0)</f>
        <v>#VALUE!</v>
      </c>
      <c r="L253" s="1" t="e">
        <f t="shared" si="89"/>
        <v>#VALUE!</v>
      </c>
      <c r="M253" s="3" t="e">
        <f t="shared" si="90"/>
        <v>#VALUE!</v>
      </c>
      <c r="N253" s="1" t="e">
        <f t="shared" si="91"/>
        <v>#VALUE!</v>
      </c>
      <c r="O253" s="2" t="str">
        <f t="shared" si="92"/>
        <v/>
      </c>
      <c r="P253" s="1" t="str">
        <f t="shared" si="85"/>
        <v/>
      </c>
      <c r="Q253" s="47" t="str">
        <f>IF(COUNTA(C253)=1,(Table1[[#This Row],[min]]+(Table1[[#This Row],[sec]]/60))/1440, "")</f>
        <v/>
      </c>
    </row>
    <row r="254" spans="1:17" x14ac:dyDescent="0.25">
      <c r="A254" s="1">
        <v>253</v>
      </c>
      <c r="B254" s="6"/>
      <c r="D254" s="1" t="e">
        <f t="shared" si="93"/>
        <v>#VALUE!</v>
      </c>
      <c r="E254" s="1" t="e">
        <f t="shared" si="94"/>
        <v>#VALUE!</v>
      </c>
      <c r="F254" s="1" t="e">
        <f>AVERAGE($E$2:E254)</f>
        <v>#VALUE!</v>
      </c>
      <c r="G254" s="1" t="e">
        <f t="shared" si="86"/>
        <v>#VALUE!</v>
      </c>
      <c r="H254" s="1" t="e">
        <f t="shared" si="87"/>
        <v>#VALUE!</v>
      </c>
      <c r="I254" s="1" t="e">
        <f>AVERAGE($D$2:D254)</f>
        <v>#VALUE!</v>
      </c>
      <c r="J254" s="1" t="e">
        <f t="shared" si="88"/>
        <v>#VALUE!</v>
      </c>
      <c r="K254" s="4" t="e" cm="1">
        <f t="array" ref="K254">_xlfn.IFS(J254&gt;60, J254-60, J254&lt;60, J254, J254=60, 0)</f>
        <v>#VALUE!</v>
      </c>
      <c r="L254" s="1" t="e">
        <f t="shared" si="89"/>
        <v>#VALUE!</v>
      </c>
      <c r="M254" s="3" t="e">
        <f t="shared" si="90"/>
        <v>#VALUE!</v>
      </c>
      <c r="N254" s="1" t="e">
        <f t="shared" si="91"/>
        <v>#VALUE!</v>
      </c>
      <c r="O254" s="2" t="str">
        <f t="shared" si="92"/>
        <v/>
      </c>
      <c r="P254" s="1" t="str">
        <f t="shared" si="85"/>
        <v/>
      </c>
      <c r="Q254" s="47" t="str">
        <f>IF(COUNTA(C254)=1,(Table1[[#This Row],[min]]+(Table1[[#This Row],[sec]]/60))/1440, "")</f>
        <v/>
      </c>
    </row>
    <row r="255" spans="1:17" x14ac:dyDescent="0.25">
      <c r="A255" s="1">
        <v>254</v>
      </c>
      <c r="B255" s="6"/>
      <c r="D255" s="1" t="e">
        <f t="shared" si="93"/>
        <v>#VALUE!</v>
      </c>
      <c r="E255" s="1" t="e">
        <f t="shared" si="94"/>
        <v>#VALUE!</v>
      </c>
      <c r="F255" s="1" t="e">
        <f>AVERAGE($E$2:E255)</f>
        <v>#VALUE!</v>
      </c>
      <c r="G255" s="1" t="e">
        <f t="shared" si="86"/>
        <v>#VALUE!</v>
      </c>
      <c r="H255" s="1" t="e">
        <f t="shared" si="87"/>
        <v>#VALUE!</v>
      </c>
      <c r="I255" s="1" t="e">
        <f>AVERAGE($D$2:D255)</f>
        <v>#VALUE!</v>
      </c>
      <c r="J255" s="1" t="e">
        <f t="shared" si="88"/>
        <v>#VALUE!</v>
      </c>
      <c r="K255" s="4" t="e" cm="1">
        <f t="array" ref="K255">_xlfn.IFS(J255&gt;60, J255-60, J255&lt;60, J255, J255=60, 0)</f>
        <v>#VALUE!</v>
      </c>
      <c r="L255" s="1" t="e">
        <f t="shared" si="89"/>
        <v>#VALUE!</v>
      </c>
      <c r="M255" s="3" t="e">
        <f t="shared" si="90"/>
        <v>#VALUE!</v>
      </c>
      <c r="N255" s="1" t="e">
        <f t="shared" si="91"/>
        <v>#VALUE!</v>
      </c>
      <c r="O255" s="2" t="str">
        <f t="shared" si="92"/>
        <v/>
      </c>
      <c r="P255" s="1" t="str">
        <f t="shared" si="85"/>
        <v/>
      </c>
      <c r="Q255" s="47" t="str">
        <f>IF(COUNTA(C255)=1,(Table1[[#This Row],[min]]+(Table1[[#This Row],[sec]]/60))/1440, "")</f>
        <v/>
      </c>
    </row>
    <row r="256" spans="1:17" x14ac:dyDescent="0.25">
      <c r="A256" s="1">
        <v>255</v>
      </c>
      <c r="B256" s="6"/>
      <c r="D256" s="1" t="e">
        <f t="shared" si="93"/>
        <v>#VALUE!</v>
      </c>
      <c r="E256" s="1" t="e">
        <f t="shared" si="94"/>
        <v>#VALUE!</v>
      </c>
      <c r="F256" s="1" t="e">
        <f>AVERAGE($E$2:E256)</f>
        <v>#VALUE!</v>
      </c>
      <c r="G256" s="1" t="e">
        <f t="shared" si="86"/>
        <v>#VALUE!</v>
      </c>
      <c r="H256" s="1" t="e">
        <f t="shared" si="87"/>
        <v>#VALUE!</v>
      </c>
      <c r="I256" s="1" t="e">
        <f>AVERAGE($D$2:D256)</f>
        <v>#VALUE!</v>
      </c>
      <c r="J256" s="1" t="e">
        <f t="shared" si="88"/>
        <v>#VALUE!</v>
      </c>
      <c r="K256" s="4" t="e" cm="1">
        <f t="array" ref="K256">_xlfn.IFS(J256&gt;60, J256-60, J256&lt;60, J256, J256=60, 0)</f>
        <v>#VALUE!</v>
      </c>
      <c r="L256" s="1" t="e">
        <f t="shared" si="89"/>
        <v>#VALUE!</v>
      </c>
      <c r="M256" s="3" t="e">
        <f t="shared" si="90"/>
        <v>#VALUE!</v>
      </c>
      <c r="N256" s="1" t="e">
        <f t="shared" si="91"/>
        <v>#VALUE!</v>
      </c>
      <c r="O256" s="2" t="str">
        <f t="shared" si="92"/>
        <v/>
      </c>
      <c r="P256" s="1" t="str">
        <f t="shared" si="85"/>
        <v/>
      </c>
      <c r="Q256" s="47" t="str">
        <f>IF(COUNTA(C256)=1,(Table1[[#This Row],[min]]+(Table1[[#This Row],[sec]]/60))/1440, "")</f>
        <v/>
      </c>
    </row>
    <row r="257" spans="1:17" x14ac:dyDescent="0.25">
      <c r="A257" s="1">
        <v>256</v>
      </c>
      <c r="B257" s="6"/>
      <c r="D257" s="1" t="e">
        <f t="shared" si="93"/>
        <v>#VALUE!</v>
      </c>
      <c r="E257" s="1" t="e">
        <f t="shared" si="94"/>
        <v>#VALUE!</v>
      </c>
      <c r="F257" s="1" t="e">
        <f>AVERAGE($E$2:E257)</f>
        <v>#VALUE!</v>
      </c>
      <c r="G257" s="1" t="e">
        <f t="shared" si="86"/>
        <v>#VALUE!</v>
      </c>
      <c r="H257" s="1" t="e">
        <f t="shared" si="87"/>
        <v>#VALUE!</v>
      </c>
      <c r="I257" s="1" t="e">
        <f>AVERAGE($D$2:D257)</f>
        <v>#VALUE!</v>
      </c>
      <c r="J257" s="1" t="e">
        <f t="shared" si="88"/>
        <v>#VALUE!</v>
      </c>
      <c r="K257" s="4" t="e" cm="1">
        <f t="array" ref="K257">_xlfn.IFS(J257&gt;60, J257-60, J257&lt;60, J257, J257=60, 0)</f>
        <v>#VALUE!</v>
      </c>
      <c r="L257" s="1" t="e">
        <f t="shared" si="89"/>
        <v>#VALUE!</v>
      </c>
      <c r="M257" s="3" t="e">
        <f t="shared" si="90"/>
        <v>#VALUE!</v>
      </c>
      <c r="N257" s="1" t="e">
        <f t="shared" si="91"/>
        <v>#VALUE!</v>
      </c>
      <c r="O257" s="2" t="str">
        <f t="shared" si="92"/>
        <v/>
      </c>
      <c r="P257" s="1" t="str">
        <f t="shared" si="85"/>
        <v/>
      </c>
      <c r="Q257" s="47" t="str">
        <f>IF(COUNTA(C257)=1,(Table1[[#This Row],[min]]+(Table1[[#This Row],[sec]]/60))/1440, "")</f>
        <v/>
      </c>
    </row>
    <row r="258" spans="1:17" x14ac:dyDescent="0.25">
      <c r="A258" s="1">
        <v>257</v>
      </c>
      <c r="B258" s="6"/>
      <c r="D258" s="1" t="e">
        <f t="shared" si="93"/>
        <v>#VALUE!</v>
      </c>
      <c r="E258" s="1" t="e">
        <f t="shared" si="94"/>
        <v>#VALUE!</v>
      </c>
      <c r="F258" s="1" t="e">
        <f>AVERAGE($E$2:E258)</f>
        <v>#VALUE!</v>
      </c>
      <c r="G258" s="1" t="e">
        <f t="shared" si="86"/>
        <v>#VALUE!</v>
      </c>
      <c r="H258" s="1" t="e">
        <f t="shared" si="87"/>
        <v>#VALUE!</v>
      </c>
      <c r="I258" s="1" t="e">
        <f>AVERAGE($D$2:D258)</f>
        <v>#VALUE!</v>
      </c>
      <c r="J258" s="1" t="e">
        <f t="shared" si="88"/>
        <v>#VALUE!</v>
      </c>
      <c r="K258" s="4" t="e" cm="1">
        <f t="array" ref="K258">_xlfn.IFS(J258&gt;60, J258-60, J258&lt;60, J258, J258=60, 0)</f>
        <v>#VALUE!</v>
      </c>
      <c r="L258" s="1" t="e">
        <f t="shared" si="89"/>
        <v>#VALUE!</v>
      </c>
      <c r="M258" s="3" t="e">
        <f t="shared" si="90"/>
        <v>#VALUE!</v>
      </c>
      <c r="N258" s="1" t="e">
        <f t="shared" si="91"/>
        <v>#VALUE!</v>
      </c>
      <c r="O258" s="2" t="str">
        <f t="shared" si="92"/>
        <v/>
      </c>
      <c r="P258" s="1" t="str">
        <f t="shared" si="85"/>
        <v/>
      </c>
      <c r="Q258" s="47" t="str">
        <f>IF(COUNTA(C258)=1,(Table1[[#This Row],[min]]+(Table1[[#This Row],[sec]]/60))/1440, "")</f>
        <v/>
      </c>
    </row>
    <row r="259" spans="1:17" x14ac:dyDescent="0.25">
      <c r="A259" s="1">
        <v>258</v>
      </c>
      <c r="B259" s="6"/>
      <c r="D259" s="1" t="e">
        <f t="shared" si="93"/>
        <v>#VALUE!</v>
      </c>
      <c r="E259" s="1" t="e">
        <f t="shared" si="94"/>
        <v>#VALUE!</v>
      </c>
      <c r="F259" s="1" t="e">
        <f>AVERAGE($E$2:E259)</f>
        <v>#VALUE!</v>
      </c>
      <c r="G259" s="1" t="e">
        <f t="shared" si="86"/>
        <v>#VALUE!</v>
      </c>
      <c r="H259" s="1" t="e">
        <f t="shared" si="87"/>
        <v>#VALUE!</v>
      </c>
      <c r="I259" s="1" t="e">
        <f>AVERAGE($D$2:D259)</f>
        <v>#VALUE!</v>
      </c>
      <c r="J259" s="1" t="e">
        <f t="shared" si="88"/>
        <v>#VALUE!</v>
      </c>
      <c r="K259" s="4" t="e" cm="1">
        <f t="array" ref="K259">_xlfn.IFS(J259&gt;60, J259-60, J259&lt;60, J259, J259=60, 0)</f>
        <v>#VALUE!</v>
      </c>
      <c r="L259" s="1" t="e">
        <f t="shared" si="89"/>
        <v>#VALUE!</v>
      </c>
      <c r="M259" s="3" t="e">
        <f t="shared" si="90"/>
        <v>#VALUE!</v>
      </c>
      <c r="N259" s="1" t="e">
        <f t="shared" si="91"/>
        <v>#VALUE!</v>
      </c>
      <c r="O259" s="2" t="str">
        <f t="shared" si="92"/>
        <v/>
      </c>
      <c r="P259" s="1" t="str">
        <f t="shared" si="85"/>
        <v/>
      </c>
      <c r="Q259" s="47" t="str">
        <f>IF(COUNTA(C259)=1,(Table1[[#This Row],[min]]+(Table1[[#This Row],[sec]]/60))/1440, "")</f>
        <v/>
      </c>
    </row>
    <row r="260" spans="1:17" x14ac:dyDescent="0.25">
      <c r="A260" s="1">
        <v>259</v>
      </c>
      <c r="B260" s="6"/>
      <c r="D260" s="1" t="e">
        <f t="shared" si="93"/>
        <v>#VALUE!</v>
      </c>
      <c r="E260" s="1" t="e">
        <f t="shared" si="94"/>
        <v>#VALUE!</v>
      </c>
      <c r="F260" s="1" t="e">
        <f>AVERAGE($E$2:E260)</f>
        <v>#VALUE!</v>
      </c>
      <c r="G260" s="1" t="e">
        <f t="shared" si="86"/>
        <v>#VALUE!</v>
      </c>
      <c r="H260" s="1" t="e">
        <f t="shared" si="87"/>
        <v>#VALUE!</v>
      </c>
      <c r="I260" s="1" t="e">
        <f>AVERAGE($D$2:D260)</f>
        <v>#VALUE!</v>
      </c>
      <c r="J260" s="1" t="e">
        <f t="shared" si="88"/>
        <v>#VALUE!</v>
      </c>
      <c r="K260" s="4" t="e" cm="1">
        <f t="array" ref="K260">_xlfn.IFS(J260&gt;60, J260-60, J260&lt;60, J260, J260=60, 0)</f>
        <v>#VALUE!</v>
      </c>
      <c r="L260" s="1" t="e">
        <f t="shared" si="89"/>
        <v>#VALUE!</v>
      </c>
      <c r="M260" s="3" t="e">
        <f t="shared" si="90"/>
        <v>#VALUE!</v>
      </c>
      <c r="N260" s="1" t="e">
        <f t="shared" si="91"/>
        <v>#VALUE!</v>
      </c>
      <c r="O260" s="2" t="str">
        <f t="shared" si="92"/>
        <v/>
      </c>
      <c r="P260" s="1" t="str">
        <f t="shared" si="85"/>
        <v/>
      </c>
      <c r="Q260" s="47" t="str">
        <f>IF(COUNTA(C260)=1,(Table1[[#This Row],[min]]+(Table1[[#This Row],[sec]]/60))/1440, "")</f>
        <v/>
      </c>
    </row>
    <row r="261" spans="1:17" x14ac:dyDescent="0.25">
      <c r="A261" s="1">
        <v>260</v>
      </c>
      <c r="B261" s="6"/>
      <c r="D261" s="1" t="e">
        <f t="shared" si="93"/>
        <v>#VALUE!</v>
      </c>
      <c r="E261" s="1" t="e">
        <f t="shared" si="94"/>
        <v>#VALUE!</v>
      </c>
      <c r="F261" s="1" t="e">
        <f>AVERAGE($E$2:E261)</f>
        <v>#VALUE!</v>
      </c>
      <c r="G261" s="1" t="e">
        <f t="shared" si="86"/>
        <v>#VALUE!</v>
      </c>
      <c r="H261" s="1" t="e">
        <f t="shared" si="87"/>
        <v>#VALUE!</v>
      </c>
      <c r="I261" s="1" t="e">
        <f>AVERAGE($D$2:D261)</f>
        <v>#VALUE!</v>
      </c>
      <c r="J261" s="1" t="e">
        <f t="shared" si="88"/>
        <v>#VALUE!</v>
      </c>
      <c r="K261" s="4" t="e" cm="1">
        <f t="array" ref="K261">_xlfn.IFS(J261&gt;60, J261-60, J261&lt;60, J261, J261=60, 0)</f>
        <v>#VALUE!</v>
      </c>
      <c r="L261" s="1" t="e">
        <f t="shared" si="89"/>
        <v>#VALUE!</v>
      </c>
      <c r="M261" s="3" t="e">
        <f t="shared" si="90"/>
        <v>#VALUE!</v>
      </c>
      <c r="N261" s="1" t="e">
        <f t="shared" si="91"/>
        <v>#VALUE!</v>
      </c>
      <c r="O261" s="2" t="str">
        <f t="shared" si="92"/>
        <v/>
      </c>
      <c r="P261" s="1" t="str">
        <f t="shared" si="85"/>
        <v/>
      </c>
      <c r="Q261" s="47" t="str">
        <f>IF(COUNTA(C261)=1,(Table1[[#This Row],[min]]+(Table1[[#This Row],[sec]]/60))/1440, "")</f>
        <v/>
      </c>
    </row>
    <row r="262" spans="1:17" x14ac:dyDescent="0.25">
      <c r="A262" s="1">
        <v>261</v>
      </c>
      <c r="B262" s="6"/>
      <c r="D262" s="1" t="e">
        <f t="shared" si="93"/>
        <v>#VALUE!</v>
      </c>
      <c r="E262" s="1" t="e">
        <f t="shared" si="94"/>
        <v>#VALUE!</v>
      </c>
      <c r="F262" s="1" t="e">
        <f>AVERAGE($E$2:E262)</f>
        <v>#VALUE!</v>
      </c>
      <c r="G262" s="1" t="e">
        <f t="shared" si="86"/>
        <v>#VALUE!</v>
      </c>
      <c r="H262" s="1" t="e">
        <f t="shared" si="87"/>
        <v>#VALUE!</v>
      </c>
      <c r="I262" s="1" t="e">
        <f>AVERAGE($D$2:D262)</f>
        <v>#VALUE!</v>
      </c>
      <c r="J262" s="1" t="e">
        <f t="shared" si="88"/>
        <v>#VALUE!</v>
      </c>
      <c r="K262" s="4" t="e" cm="1">
        <f t="array" ref="K262">_xlfn.IFS(J262&gt;60, J262-60, J262&lt;60, J262, J262=60, 0)</f>
        <v>#VALUE!</v>
      </c>
      <c r="L262" s="1" t="e">
        <f t="shared" si="89"/>
        <v>#VALUE!</v>
      </c>
      <c r="M262" s="3" t="e">
        <f t="shared" si="90"/>
        <v>#VALUE!</v>
      </c>
      <c r="N262" s="1" t="e">
        <f t="shared" si="91"/>
        <v>#VALUE!</v>
      </c>
      <c r="O262" s="2" t="str">
        <f t="shared" si="92"/>
        <v/>
      </c>
      <c r="P262" s="1" t="str">
        <f t="shared" si="85"/>
        <v/>
      </c>
      <c r="Q262" s="47" t="str">
        <f>IF(COUNTA(C262)=1,(Table1[[#This Row],[min]]+(Table1[[#This Row],[sec]]/60))/1440, "")</f>
        <v/>
      </c>
    </row>
    <row r="263" spans="1:17" x14ac:dyDescent="0.25">
      <c r="A263" s="1">
        <v>262</v>
      </c>
      <c r="B263" s="6"/>
      <c r="D263" s="1" t="e">
        <f t="shared" si="93"/>
        <v>#VALUE!</v>
      </c>
      <c r="E263" s="1" t="e">
        <f t="shared" si="94"/>
        <v>#VALUE!</v>
      </c>
      <c r="F263" s="1" t="e">
        <f>AVERAGE($E$2:E263)</f>
        <v>#VALUE!</v>
      </c>
      <c r="G263" s="1" t="e">
        <f t="shared" si="86"/>
        <v>#VALUE!</v>
      </c>
      <c r="H263" s="1" t="e">
        <f t="shared" si="87"/>
        <v>#VALUE!</v>
      </c>
      <c r="I263" s="1" t="e">
        <f>AVERAGE($D$2:D263)</f>
        <v>#VALUE!</v>
      </c>
      <c r="J263" s="1" t="e">
        <f t="shared" si="88"/>
        <v>#VALUE!</v>
      </c>
      <c r="K263" s="4" t="e" cm="1">
        <f t="array" ref="K263">_xlfn.IFS(J263&gt;60, J263-60, J263&lt;60, J263, J263=60, 0)</f>
        <v>#VALUE!</v>
      </c>
      <c r="L263" s="1" t="e">
        <f t="shared" si="89"/>
        <v>#VALUE!</v>
      </c>
      <c r="M263" s="3" t="e">
        <f t="shared" si="90"/>
        <v>#VALUE!</v>
      </c>
      <c r="N263" s="1" t="e">
        <f t="shared" si="91"/>
        <v>#VALUE!</v>
      </c>
      <c r="O263" s="2" t="str">
        <f t="shared" si="92"/>
        <v/>
      </c>
      <c r="P263" s="1" t="str">
        <f t="shared" si="85"/>
        <v/>
      </c>
      <c r="Q263" s="47" t="str">
        <f>IF(COUNTA(C263)=1,(Table1[[#This Row],[min]]+(Table1[[#This Row],[sec]]/60))/1440, "")</f>
        <v/>
      </c>
    </row>
    <row r="264" spans="1:17" x14ac:dyDescent="0.25">
      <c r="A264" s="1">
        <v>263</v>
      </c>
      <c r="B264" s="6"/>
      <c r="D264" s="1" t="e">
        <f t="shared" si="93"/>
        <v>#VALUE!</v>
      </c>
      <c r="E264" s="1" t="e">
        <f t="shared" si="94"/>
        <v>#VALUE!</v>
      </c>
      <c r="F264" s="1" t="e">
        <f>AVERAGE($E$2:E264)</f>
        <v>#VALUE!</v>
      </c>
      <c r="G264" s="1" t="e">
        <f t="shared" si="86"/>
        <v>#VALUE!</v>
      </c>
      <c r="H264" s="1" t="e">
        <f t="shared" si="87"/>
        <v>#VALUE!</v>
      </c>
      <c r="I264" s="1" t="e">
        <f>AVERAGE($D$2:D264)</f>
        <v>#VALUE!</v>
      </c>
      <c r="J264" s="1" t="e">
        <f t="shared" si="88"/>
        <v>#VALUE!</v>
      </c>
      <c r="K264" s="4" t="e" cm="1">
        <f t="array" ref="K264">_xlfn.IFS(J264&gt;60, J264-60, J264&lt;60, J264, J264=60, 0)</f>
        <v>#VALUE!</v>
      </c>
      <c r="L264" s="1" t="e">
        <f t="shared" si="89"/>
        <v>#VALUE!</v>
      </c>
      <c r="M264" s="3" t="e">
        <f t="shared" si="90"/>
        <v>#VALUE!</v>
      </c>
      <c r="N264" s="1" t="e">
        <f t="shared" si="91"/>
        <v>#VALUE!</v>
      </c>
      <c r="O264" s="2" t="str">
        <f t="shared" si="92"/>
        <v/>
      </c>
      <c r="P264" s="1" t="str">
        <f t="shared" si="85"/>
        <v/>
      </c>
      <c r="Q264" s="47" t="str">
        <f>IF(COUNTA(C264)=1,(Table1[[#This Row],[min]]+(Table1[[#This Row],[sec]]/60))/1440, "")</f>
        <v/>
      </c>
    </row>
    <row r="265" spans="1:17" x14ac:dyDescent="0.25">
      <c r="A265" s="1">
        <v>264</v>
      </c>
      <c r="B265" s="6"/>
      <c r="D265" s="1" t="e">
        <f t="shared" si="93"/>
        <v>#VALUE!</v>
      </c>
      <c r="E265" s="1" t="e">
        <f t="shared" si="94"/>
        <v>#VALUE!</v>
      </c>
      <c r="F265" s="1" t="e">
        <f>AVERAGE($E$2:E265)</f>
        <v>#VALUE!</v>
      </c>
      <c r="G265" s="1" t="e">
        <f t="shared" si="86"/>
        <v>#VALUE!</v>
      </c>
      <c r="H265" s="1" t="e">
        <f t="shared" si="87"/>
        <v>#VALUE!</v>
      </c>
      <c r="I265" s="1" t="e">
        <f>AVERAGE($D$2:D265)</f>
        <v>#VALUE!</v>
      </c>
      <c r="J265" s="1" t="e">
        <f t="shared" si="88"/>
        <v>#VALUE!</v>
      </c>
      <c r="K265" s="4" t="e" cm="1">
        <f t="array" ref="K265">_xlfn.IFS(J265&gt;60, J265-60, J265&lt;60, J265, J265=60, 0)</f>
        <v>#VALUE!</v>
      </c>
      <c r="L265" s="1" t="e">
        <f t="shared" si="89"/>
        <v>#VALUE!</v>
      </c>
      <c r="M265" s="3" t="e">
        <f t="shared" si="90"/>
        <v>#VALUE!</v>
      </c>
      <c r="N265" s="1" t="e">
        <f t="shared" si="91"/>
        <v>#VALUE!</v>
      </c>
      <c r="O265" s="2" t="str">
        <f t="shared" si="92"/>
        <v/>
      </c>
      <c r="P265" s="1" t="str">
        <f t="shared" si="85"/>
        <v/>
      </c>
      <c r="Q265" s="47" t="str">
        <f>IF(COUNTA(C265)=1,(Table1[[#This Row],[min]]+(Table1[[#This Row],[sec]]/60))/1440, "")</f>
        <v/>
      </c>
    </row>
    <row r="266" spans="1:17" x14ac:dyDescent="0.25">
      <c r="A266" s="1">
        <v>265</v>
      </c>
      <c r="B266" s="6"/>
      <c r="D266" s="1" t="e">
        <f t="shared" si="93"/>
        <v>#VALUE!</v>
      </c>
      <c r="E266" s="1" t="e">
        <f t="shared" si="94"/>
        <v>#VALUE!</v>
      </c>
      <c r="F266" s="1" t="e">
        <f>AVERAGE($E$2:E266)</f>
        <v>#VALUE!</v>
      </c>
      <c r="G266" s="1" t="e">
        <f t="shared" si="86"/>
        <v>#VALUE!</v>
      </c>
      <c r="H266" s="1" t="e">
        <f t="shared" si="87"/>
        <v>#VALUE!</v>
      </c>
      <c r="I266" s="1" t="e">
        <f>AVERAGE($D$2:D266)</f>
        <v>#VALUE!</v>
      </c>
      <c r="J266" s="1" t="e">
        <f t="shared" si="88"/>
        <v>#VALUE!</v>
      </c>
      <c r="K266" s="4" t="e" cm="1">
        <f t="array" ref="K266">_xlfn.IFS(J266&gt;60, J266-60, J266&lt;60, J266, J266=60, 0)</f>
        <v>#VALUE!</v>
      </c>
      <c r="L266" s="1" t="e">
        <f t="shared" si="89"/>
        <v>#VALUE!</v>
      </c>
      <c r="M266" s="3" t="e">
        <f t="shared" si="90"/>
        <v>#VALUE!</v>
      </c>
      <c r="N266" s="1" t="e">
        <f t="shared" si="91"/>
        <v>#VALUE!</v>
      </c>
      <c r="O266" s="2" t="str">
        <f t="shared" si="92"/>
        <v/>
      </c>
      <c r="P266" s="1" t="str">
        <f t="shared" si="85"/>
        <v/>
      </c>
      <c r="Q266" s="47" t="str">
        <f>IF(COUNTA(C266)=1,(Table1[[#This Row],[min]]+(Table1[[#This Row],[sec]]/60))/1440, "")</f>
        <v/>
      </c>
    </row>
    <row r="267" spans="1:17" x14ac:dyDescent="0.25">
      <c r="A267" s="1">
        <v>266</v>
      </c>
      <c r="B267" s="6"/>
      <c r="D267" s="1" t="e">
        <f t="shared" si="93"/>
        <v>#VALUE!</v>
      </c>
      <c r="E267" s="1" t="e">
        <f t="shared" si="94"/>
        <v>#VALUE!</v>
      </c>
      <c r="F267" s="1" t="e">
        <f>AVERAGE($E$2:E267)</f>
        <v>#VALUE!</v>
      </c>
      <c r="G267" s="1" t="e">
        <f t="shared" si="86"/>
        <v>#VALUE!</v>
      </c>
      <c r="H267" s="1" t="e">
        <f t="shared" si="87"/>
        <v>#VALUE!</v>
      </c>
      <c r="I267" s="1" t="e">
        <f>AVERAGE($D$2:D267)</f>
        <v>#VALUE!</v>
      </c>
      <c r="J267" s="1" t="e">
        <f t="shared" si="88"/>
        <v>#VALUE!</v>
      </c>
      <c r="K267" s="4" t="e" cm="1">
        <f t="array" ref="K267">_xlfn.IFS(J267&gt;60, J267-60, J267&lt;60, J267, J267=60, 0)</f>
        <v>#VALUE!</v>
      </c>
      <c r="L267" s="1" t="e">
        <f t="shared" si="89"/>
        <v>#VALUE!</v>
      </c>
      <c r="M267" s="3" t="e">
        <f t="shared" si="90"/>
        <v>#VALUE!</v>
      </c>
      <c r="N267" s="1" t="e">
        <f t="shared" si="91"/>
        <v>#VALUE!</v>
      </c>
      <c r="O267" s="2" t="str">
        <f t="shared" si="92"/>
        <v/>
      </c>
      <c r="P267" s="1" t="str">
        <f t="shared" si="85"/>
        <v/>
      </c>
      <c r="Q267" s="47" t="str">
        <f>IF(COUNTA(C267)=1,(Table1[[#This Row],[min]]+(Table1[[#This Row],[sec]]/60))/1440, "")</f>
        <v/>
      </c>
    </row>
    <row r="268" spans="1:17" x14ac:dyDescent="0.25">
      <c r="A268" s="1">
        <v>267</v>
      </c>
      <c r="B268" s="6"/>
      <c r="D268" s="1" t="e">
        <f t="shared" si="93"/>
        <v>#VALUE!</v>
      </c>
      <c r="E268" s="1" t="e">
        <f t="shared" si="94"/>
        <v>#VALUE!</v>
      </c>
      <c r="F268" s="1" t="e">
        <f>AVERAGE($E$2:E268)</f>
        <v>#VALUE!</v>
      </c>
      <c r="G268" s="1" t="e">
        <f t="shared" si="86"/>
        <v>#VALUE!</v>
      </c>
      <c r="H268" s="1" t="e">
        <f t="shared" si="87"/>
        <v>#VALUE!</v>
      </c>
      <c r="I268" s="1" t="e">
        <f>AVERAGE($D$2:D268)</f>
        <v>#VALUE!</v>
      </c>
      <c r="J268" s="1" t="e">
        <f t="shared" si="88"/>
        <v>#VALUE!</v>
      </c>
      <c r="K268" s="4" t="e" cm="1">
        <f t="array" ref="K268">_xlfn.IFS(J268&gt;60, J268-60, J268&lt;60, J268, J268=60, 0)</f>
        <v>#VALUE!</v>
      </c>
      <c r="L268" s="1" t="e">
        <f t="shared" si="89"/>
        <v>#VALUE!</v>
      </c>
      <c r="M268" s="3" t="e">
        <f t="shared" si="90"/>
        <v>#VALUE!</v>
      </c>
      <c r="N268" s="1" t="e">
        <f t="shared" si="91"/>
        <v>#VALUE!</v>
      </c>
      <c r="O268" s="2" t="str">
        <f t="shared" si="92"/>
        <v/>
      </c>
      <c r="P268" s="1" t="str">
        <f t="shared" si="85"/>
        <v/>
      </c>
      <c r="Q268" s="47" t="str">
        <f>IF(COUNTA(C268)=1,(Table1[[#This Row],[min]]+(Table1[[#This Row],[sec]]/60))/1440, "")</f>
        <v/>
      </c>
    </row>
    <row r="269" spans="1:17" x14ac:dyDescent="0.25">
      <c r="A269" s="1">
        <v>268</v>
      </c>
      <c r="B269" s="6"/>
      <c r="D269" s="1" t="e">
        <f t="shared" si="93"/>
        <v>#VALUE!</v>
      </c>
      <c r="E269" s="1" t="e">
        <f t="shared" si="94"/>
        <v>#VALUE!</v>
      </c>
      <c r="F269" s="1" t="e">
        <f>AVERAGE($E$2:E269)</f>
        <v>#VALUE!</v>
      </c>
      <c r="G269" s="1" t="e">
        <f t="shared" si="86"/>
        <v>#VALUE!</v>
      </c>
      <c r="H269" s="1" t="e">
        <f t="shared" si="87"/>
        <v>#VALUE!</v>
      </c>
      <c r="I269" s="1" t="e">
        <f>AVERAGE($D$2:D269)</f>
        <v>#VALUE!</v>
      </c>
      <c r="J269" s="1" t="e">
        <f t="shared" si="88"/>
        <v>#VALUE!</v>
      </c>
      <c r="K269" s="4" t="e" cm="1">
        <f t="array" ref="K269">_xlfn.IFS(J269&gt;60, J269-60, J269&lt;60, J269, J269=60, 0)</f>
        <v>#VALUE!</v>
      </c>
      <c r="L269" s="1" t="e">
        <f t="shared" si="89"/>
        <v>#VALUE!</v>
      </c>
      <c r="M269" s="3" t="e">
        <f t="shared" si="90"/>
        <v>#VALUE!</v>
      </c>
      <c r="N269" s="1" t="e">
        <f t="shared" si="91"/>
        <v>#VALUE!</v>
      </c>
      <c r="O269" s="2" t="str">
        <f t="shared" si="92"/>
        <v/>
      </c>
      <c r="P269" s="1" t="str">
        <f t="shared" si="85"/>
        <v/>
      </c>
      <c r="Q269" s="47" t="str">
        <f>IF(COUNTA(C269)=1,(Table1[[#This Row],[min]]+(Table1[[#This Row],[sec]]/60))/1440, "")</f>
        <v/>
      </c>
    </row>
    <row r="270" spans="1:17" x14ac:dyDescent="0.25">
      <c r="A270" s="1">
        <v>269</v>
      </c>
      <c r="B270" s="6"/>
      <c r="D270" s="1" t="e">
        <f t="shared" si="93"/>
        <v>#VALUE!</v>
      </c>
      <c r="E270" s="1" t="e">
        <f t="shared" si="94"/>
        <v>#VALUE!</v>
      </c>
      <c r="F270" s="1" t="e">
        <f>AVERAGE($E$2:E270)</f>
        <v>#VALUE!</v>
      </c>
      <c r="G270" s="1" t="e">
        <f t="shared" si="86"/>
        <v>#VALUE!</v>
      </c>
      <c r="H270" s="1" t="e">
        <f t="shared" si="87"/>
        <v>#VALUE!</v>
      </c>
      <c r="I270" s="1" t="e">
        <f>AVERAGE($D$2:D270)</f>
        <v>#VALUE!</v>
      </c>
      <c r="J270" s="1" t="e">
        <f t="shared" si="88"/>
        <v>#VALUE!</v>
      </c>
      <c r="K270" s="4" t="e" cm="1">
        <f t="array" ref="K270">_xlfn.IFS(J270&gt;60, J270-60, J270&lt;60, J270, J270=60, 0)</f>
        <v>#VALUE!</v>
      </c>
      <c r="L270" s="1" t="e">
        <f t="shared" si="89"/>
        <v>#VALUE!</v>
      </c>
      <c r="M270" s="3" t="e">
        <f t="shared" si="90"/>
        <v>#VALUE!</v>
      </c>
      <c r="N270" s="1" t="e">
        <f t="shared" si="91"/>
        <v>#VALUE!</v>
      </c>
      <c r="O270" s="2" t="str">
        <f t="shared" si="92"/>
        <v/>
      </c>
      <c r="P270" s="1" t="str">
        <f t="shared" si="85"/>
        <v/>
      </c>
      <c r="Q270" s="47" t="str">
        <f>IF(COUNTA(C270)=1,(Table1[[#This Row],[min]]+(Table1[[#This Row],[sec]]/60))/1440, "")</f>
        <v/>
      </c>
    </row>
    <row r="271" spans="1:17" x14ac:dyDescent="0.25">
      <c r="A271" s="1">
        <v>270</v>
      </c>
      <c r="B271" s="6"/>
      <c r="D271" s="1" t="e">
        <f t="shared" si="93"/>
        <v>#VALUE!</v>
      </c>
      <c r="E271" s="1" t="e">
        <f t="shared" si="94"/>
        <v>#VALUE!</v>
      </c>
      <c r="F271" s="1" t="e">
        <f>AVERAGE($E$2:E271)</f>
        <v>#VALUE!</v>
      </c>
      <c r="G271" s="1" t="e">
        <f t="shared" si="86"/>
        <v>#VALUE!</v>
      </c>
      <c r="H271" s="1" t="e">
        <f t="shared" si="87"/>
        <v>#VALUE!</v>
      </c>
      <c r="I271" s="1" t="e">
        <f>AVERAGE($D$2:D271)</f>
        <v>#VALUE!</v>
      </c>
      <c r="J271" s="1" t="e">
        <f t="shared" si="88"/>
        <v>#VALUE!</v>
      </c>
      <c r="K271" s="4" t="e" cm="1">
        <f t="array" ref="K271">_xlfn.IFS(J271&gt;60, J271-60, J271&lt;60, J271, J271=60, 0)</f>
        <v>#VALUE!</v>
      </c>
      <c r="L271" s="1" t="e">
        <f t="shared" si="89"/>
        <v>#VALUE!</v>
      </c>
      <c r="M271" s="3" t="e">
        <f t="shared" si="90"/>
        <v>#VALUE!</v>
      </c>
      <c r="N271" s="1" t="e">
        <f t="shared" si="91"/>
        <v>#VALUE!</v>
      </c>
      <c r="O271" s="2" t="str">
        <f t="shared" si="92"/>
        <v/>
      </c>
      <c r="P271" s="1" t="str">
        <f t="shared" si="85"/>
        <v/>
      </c>
      <c r="Q271" s="47" t="str">
        <f>IF(COUNTA(C271)=1,(Table1[[#This Row],[min]]+(Table1[[#This Row],[sec]]/60))/1440, "")</f>
        <v/>
      </c>
    </row>
    <row r="272" spans="1:17" x14ac:dyDescent="0.25">
      <c r="A272" s="1">
        <v>271</v>
      </c>
      <c r="B272" s="6"/>
      <c r="D272" s="1" t="e">
        <f t="shared" si="93"/>
        <v>#VALUE!</v>
      </c>
      <c r="E272" s="1" t="e">
        <f t="shared" si="94"/>
        <v>#VALUE!</v>
      </c>
      <c r="F272" s="1" t="e">
        <f>AVERAGE($E$2:E272)</f>
        <v>#VALUE!</v>
      </c>
      <c r="G272" s="1" t="e">
        <f t="shared" si="86"/>
        <v>#VALUE!</v>
      </c>
      <c r="H272" s="1" t="e">
        <f t="shared" si="87"/>
        <v>#VALUE!</v>
      </c>
      <c r="I272" s="1" t="e">
        <f>AVERAGE($D$2:D272)</f>
        <v>#VALUE!</v>
      </c>
      <c r="J272" s="1" t="e">
        <f t="shared" si="88"/>
        <v>#VALUE!</v>
      </c>
      <c r="K272" s="4" t="e" cm="1">
        <f t="array" ref="K272">_xlfn.IFS(J272&gt;60, J272-60, J272&lt;60, J272, J272=60, 0)</f>
        <v>#VALUE!</v>
      </c>
      <c r="L272" s="1" t="e">
        <f t="shared" si="89"/>
        <v>#VALUE!</v>
      </c>
      <c r="M272" s="3" t="e">
        <f t="shared" si="90"/>
        <v>#VALUE!</v>
      </c>
      <c r="N272" s="1" t="e">
        <f t="shared" si="91"/>
        <v>#VALUE!</v>
      </c>
      <c r="O272" s="2" t="str">
        <f t="shared" si="92"/>
        <v/>
      </c>
      <c r="P272" s="1" t="str">
        <f t="shared" si="85"/>
        <v/>
      </c>
      <c r="Q272" s="47" t="str">
        <f>IF(COUNTA(C272)=1,(Table1[[#This Row],[min]]+(Table1[[#This Row],[sec]]/60))/1440, "")</f>
        <v/>
      </c>
    </row>
    <row r="273" spans="1:17" x14ac:dyDescent="0.25">
      <c r="A273" s="1">
        <v>272</v>
      </c>
      <c r="B273" s="6"/>
      <c r="D273" s="1" t="e">
        <f t="shared" si="93"/>
        <v>#VALUE!</v>
      </c>
      <c r="E273" s="1" t="e">
        <f t="shared" si="94"/>
        <v>#VALUE!</v>
      </c>
      <c r="F273" s="1" t="e">
        <f>AVERAGE($E$2:E273)</f>
        <v>#VALUE!</v>
      </c>
      <c r="G273" s="1" t="e">
        <f t="shared" si="86"/>
        <v>#VALUE!</v>
      </c>
      <c r="H273" s="1" t="e">
        <f t="shared" si="87"/>
        <v>#VALUE!</v>
      </c>
      <c r="I273" s="1" t="e">
        <f>AVERAGE($D$2:D273)</f>
        <v>#VALUE!</v>
      </c>
      <c r="J273" s="1" t="e">
        <f t="shared" si="88"/>
        <v>#VALUE!</v>
      </c>
      <c r="K273" s="4" t="e" cm="1">
        <f t="array" ref="K273">_xlfn.IFS(J273&gt;60, J273-60, J273&lt;60, J273, J273=60, 0)</f>
        <v>#VALUE!</v>
      </c>
      <c r="L273" s="1" t="e">
        <f t="shared" si="89"/>
        <v>#VALUE!</v>
      </c>
      <c r="M273" s="3" t="e">
        <f t="shared" si="90"/>
        <v>#VALUE!</v>
      </c>
      <c r="N273" s="1" t="e">
        <f t="shared" si="91"/>
        <v>#VALUE!</v>
      </c>
      <c r="O273" s="2" t="str">
        <f t="shared" si="92"/>
        <v/>
      </c>
      <c r="P273" s="1" t="str">
        <f t="shared" si="85"/>
        <v/>
      </c>
      <c r="Q273" s="47" t="str">
        <f>IF(COUNTA(C273)=1,(Table1[[#This Row],[min]]+(Table1[[#This Row],[sec]]/60))/1440, "")</f>
        <v/>
      </c>
    </row>
    <row r="274" spans="1:17" x14ac:dyDescent="0.25">
      <c r="A274" s="1">
        <v>273</v>
      </c>
      <c r="B274" s="6"/>
      <c r="D274" s="1" t="e">
        <f t="shared" si="93"/>
        <v>#VALUE!</v>
      </c>
      <c r="E274" s="1" t="e">
        <f t="shared" si="94"/>
        <v>#VALUE!</v>
      </c>
      <c r="F274" s="1" t="e">
        <f>AVERAGE($E$2:E274)</f>
        <v>#VALUE!</v>
      </c>
      <c r="G274" s="1" t="e">
        <f t="shared" si="86"/>
        <v>#VALUE!</v>
      </c>
      <c r="H274" s="1" t="e">
        <f t="shared" si="87"/>
        <v>#VALUE!</v>
      </c>
      <c r="I274" s="1" t="e">
        <f>AVERAGE($D$2:D274)</f>
        <v>#VALUE!</v>
      </c>
      <c r="J274" s="1" t="e">
        <f t="shared" si="88"/>
        <v>#VALUE!</v>
      </c>
      <c r="K274" s="4" t="e" cm="1">
        <f t="array" ref="K274">_xlfn.IFS(J274&gt;60, J274-60, J274&lt;60, J274, J274=60, 0)</f>
        <v>#VALUE!</v>
      </c>
      <c r="L274" s="1" t="e">
        <f t="shared" si="89"/>
        <v>#VALUE!</v>
      </c>
      <c r="M274" s="3" t="e">
        <f t="shared" si="90"/>
        <v>#VALUE!</v>
      </c>
      <c r="N274" s="1" t="e">
        <f t="shared" si="91"/>
        <v>#VALUE!</v>
      </c>
      <c r="O274" s="2" t="str">
        <f t="shared" si="92"/>
        <v/>
      </c>
      <c r="P274" s="1" t="str">
        <f t="shared" si="85"/>
        <v/>
      </c>
      <c r="Q274" s="47" t="str">
        <f>IF(COUNTA(C274)=1,(Table1[[#This Row],[min]]+(Table1[[#This Row],[sec]]/60))/1440, "")</f>
        <v/>
      </c>
    </row>
    <row r="275" spans="1:17" x14ac:dyDescent="0.25">
      <c r="A275" s="1">
        <v>274</v>
      </c>
      <c r="B275" s="6"/>
      <c r="D275" s="1" t="e">
        <f t="shared" si="93"/>
        <v>#VALUE!</v>
      </c>
      <c r="E275" s="1" t="e">
        <f t="shared" si="94"/>
        <v>#VALUE!</v>
      </c>
      <c r="F275" s="1" t="e">
        <f>AVERAGE($E$2:E275)</f>
        <v>#VALUE!</v>
      </c>
      <c r="G275" s="1" t="e">
        <f t="shared" si="86"/>
        <v>#VALUE!</v>
      </c>
      <c r="H275" s="1" t="e">
        <f t="shared" si="87"/>
        <v>#VALUE!</v>
      </c>
      <c r="I275" s="1" t="e">
        <f>AVERAGE($D$2:D275)</f>
        <v>#VALUE!</v>
      </c>
      <c r="J275" s="1" t="e">
        <f t="shared" si="88"/>
        <v>#VALUE!</v>
      </c>
      <c r="K275" s="4" t="e" cm="1">
        <f t="array" ref="K275">_xlfn.IFS(J275&gt;60, J275-60, J275&lt;60, J275, J275=60, 0)</f>
        <v>#VALUE!</v>
      </c>
      <c r="L275" s="1" t="e">
        <f t="shared" si="89"/>
        <v>#VALUE!</v>
      </c>
      <c r="M275" s="3" t="e">
        <f t="shared" si="90"/>
        <v>#VALUE!</v>
      </c>
      <c r="N275" s="1" t="e">
        <f t="shared" si="91"/>
        <v>#VALUE!</v>
      </c>
      <c r="O275" s="2" t="str">
        <f t="shared" si="92"/>
        <v/>
      </c>
      <c r="P275" s="1" t="str">
        <f t="shared" si="85"/>
        <v/>
      </c>
      <c r="Q275" s="47" t="str">
        <f>IF(COUNTA(C275)=1,(Table1[[#This Row],[min]]+(Table1[[#This Row],[sec]]/60))/1440, "")</f>
        <v/>
      </c>
    </row>
    <row r="276" spans="1:17" x14ac:dyDescent="0.25">
      <c r="A276" s="1">
        <v>275</v>
      </c>
      <c r="B276" s="6"/>
      <c r="D276" s="1" t="e">
        <f t="shared" si="93"/>
        <v>#VALUE!</v>
      </c>
      <c r="E276" s="1" t="e">
        <f t="shared" si="94"/>
        <v>#VALUE!</v>
      </c>
      <c r="F276" s="1" t="e">
        <f>AVERAGE($E$2:E276)</f>
        <v>#VALUE!</v>
      </c>
      <c r="G276" s="1" t="e">
        <f t="shared" si="86"/>
        <v>#VALUE!</v>
      </c>
      <c r="H276" s="1" t="e">
        <f t="shared" si="87"/>
        <v>#VALUE!</v>
      </c>
      <c r="I276" s="1" t="e">
        <f>AVERAGE($D$2:D276)</f>
        <v>#VALUE!</v>
      </c>
      <c r="J276" s="1" t="e">
        <f t="shared" si="88"/>
        <v>#VALUE!</v>
      </c>
      <c r="K276" s="4" t="e" cm="1">
        <f t="array" ref="K276">_xlfn.IFS(J276&gt;60, J276-60, J276&lt;60, J276, J276=60, 0)</f>
        <v>#VALUE!</v>
      </c>
      <c r="L276" s="1" t="e">
        <f t="shared" si="89"/>
        <v>#VALUE!</v>
      </c>
      <c r="M276" s="3" t="e">
        <f t="shared" si="90"/>
        <v>#VALUE!</v>
      </c>
      <c r="N276" s="1" t="e">
        <f t="shared" si="91"/>
        <v>#VALUE!</v>
      </c>
      <c r="O276" s="2" t="str">
        <f t="shared" si="92"/>
        <v/>
      </c>
      <c r="P276" s="1" t="str">
        <f t="shared" si="85"/>
        <v/>
      </c>
      <c r="Q276" s="47" t="str">
        <f>IF(COUNTA(C276)=1,(Table1[[#This Row],[min]]+(Table1[[#This Row],[sec]]/60))/1440, "")</f>
        <v/>
      </c>
    </row>
    <row r="277" spans="1:17" x14ac:dyDescent="0.25">
      <c r="A277" s="1">
        <v>276</v>
      </c>
      <c r="B277" s="6"/>
      <c r="D277" s="1" t="e">
        <f t="shared" si="93"/>
        <v>#VALUE!</v>
      </c>
      <c r="E277" s="1" t="e">
        <f t="shared" si="94"/>
        <v>#VALUE!</v>
      </c>
      <c r="F277" s="1" t="e">
        <f>AVERAGE($E$2:E277)</f>
        <v>#VALUE!</v>
      </c>
      <c r="G277" s="1" t="e">
        <f t="shared" si="86"/>
        <v>#VALUE!</v>
      </c>
      <c r="H277" s="1" t="e">
        <f t="shared" si="87"/>
        <v>#VALUE!</v>
      </c>
      <c r="I277" s="1" t="e">
        <f>AVERAGE($D$2:D277)</f>
        <v>#VALUE!</v>
      </c>
      <c r="J277" s="1" t="e">
        <f t="shared" si="88"/>
        <v>#VALUE!</v>
      </c>
      <c r="K277" s="4" t="e" cm="1">
        <f t="array" ref="K277">_xlfn.IFS(J277&gt;60, J277-60, J277&lt;60, J277, J277=60, 0)</f>
        <v>#VALUE!</v>
      </c>
      <c r="L277" s="1" t="e">
        <f t="shared" si="89"/>
        <v>#VALUE!</v>
      </c>
      <c r="M277" s="3" t="e">
        <f t="shared" si="90"/>
        <v>#VALUE!</v>
      </c>
      <c r="N277" s="1" t="e">
        <f t="shared" si="91"/>
        <v>#VALUE!</v>
      </c>
      <c r="O277" s="2" t="str">
        <f t="shared" si="92"/>
        <v/>
      </c>
      <c r="P277" s="1" t="str">
        <f t="shared" si="85"/>
        <v/>
      </c>
      <c r="Q277" s="47" t="str">
        <f>IF(COUNTA(C277)=1,(Table1[[#This Row],[min]]+(Table1[[#This Row],[sec]]/60))/1440, "")</f>
        <v/>
      </c>
    </row>
    <row r="278" spans="1:17" x14ac:dyDescent="0.25">
      <c r="A278" s="1">
        <v>277</v>
      </c>
      <c r="B278" s="6"/>
      <c r="D278" s="1" t="e">
        <f t="shared" si="93"/>
        <v>#VALUE!</v>
      </c>
      <c r="E278" s="1" t="e">
        <f t="shared" si="94"/>
        <v>#VALUE!</v>
      </c>
      <c r="F278" s="1" t="e">
        <f>AVERAGE($E$2:E278)</f>
        <v>#VALUE!</v>
      </c>
      <c r="G278" s="1" t="e">
        <f t="shared" si="86"/>
        <v>#VALUE!</v>
      </c>
      <c r="H278" s="1" t="e">
        <f t="shared" si="87"/>
        <v>#VALUE!</v>
      </c>
      <c r="I278" s="1" t="e">
        <f>AVERAGE($D$2:D278)</f>
        <v>#VALUE!</v>
      </c>
      <c r="J278" s="1" t="e">
        <f t="shared" si="88"/>
        <v>#VALUE!</v>
      </c>
      <c r="K278" s="4" t="e" cm="1">
        <f t="array" ref="K278">_xlfn.IFS(J278&gt;60, J278-60, J278&lt;60, J278, J278=60, 0)</f>
        <v>#VALUE!</v>
      </c>
      <c r="L278" s="1" t="e">
        <f t="shared" si="89"/>
        <v>#VALUE!</v>
      </c>
      <c r="M278" s="3" t="e">
        <f t="shared" si="90"/>
        <v>#VALUE!</v>
      </c>
      <c r="N278" s="1" t="e">
        <f t="shared" si="91"/>
        <v>#VALUE!</v>
      </c>
      <c r="O278" s="2" t="str">
        <f t="shared" si="92"/>
        <v/>
      </c>
      <c r="P278" s="1" t="str">
        <f t="shared" si="85"/>
        <v/>
      </c>
      <c r="Q278" s="47" t="str">
        <f>IF(COUNTA(C278)=1,(Table1[[#This Row],[min]]+(Table1[[#This Row],[sec]]/60))/1440, "")</f>
        <v/>
      </c>
    </row>
    <row r="279" spans="1:17" x14ac:dyDescent="0.25">
      <c r="A279" s="1">
        <v>278</v>
      </c>
      <c r="B279" s="6"/>
      <c r="D279" s="1" t="e">
        <f t="shared" si="93"/>
        <v>#VALUE!</v>
      </c>
      <c r="E279" s="1" t="e">
        <f t="shared" si="94"/>
        <v>#VALUE!</v>
      </c>
      <c r="F279" s="1" t="e">
        <f>AVERAGE($E$2:E279)</f>
        <v>#VALUE!</v>
      </c>
      <c r="G279" s="1" t="e">
        <f t="shared" si="86"/>
        <v>#VALUE!</v>
      </c>
      <c r="H279" s="1" t="e">
        <f t="shared" si="87"/>
        <v>#VALUE!</v>
      </c>
      <c r="I279" s="1" t="e">
        <f>AVERAGE($D$2:D279)</f>
        <v>#VALUE!</v>
      </c>
      <c r="J279" s="1" t="e">
        <f t="shared" si="88"/>
        <v>#VALUE!</v>
      </c>
      <c r="K279" s="4" t="e" cm="1">
        <f t="array" ref="K279">_xlfn.IFS(J279&gt;60, J279-60, J279&lt;60, J279, J279=60, 0)</f>
        <v>#VALUE!</v>
      </c>
      <c r="L279" s="1" t="e">
        <f t="shared" si="89"/>
        <v>#VALUE!</v>
      </c>
      <c r="M279" s="3" t="e">
        <f t="shared" si="90"/>
        <v>#VALUE!</v>
      </c>
      <c r="N279" s="1" t="e">
        <f t="shared" si="91"/>
        <v>#VALUE!</v>
      </c>
      <c r="O279" s="2" t="str">
        <f t="shared" si="92"/>
        <v/>
      </c>
      <c r="P279" s="1" t="str">
        <f t="shared" si="85"/>
        <v/>
      </c>
      <c r="Q279" s="47" t="str">
        <f>IF(COUNTA(C279)=1,(Table1[[#This Row],[min]]+(Table1[[#This Row],[sec]]/60))/1440, "")</f>
        <v/>
      </c>
    </row>
    <row r="280" spans="1:17" x14ac:dyDescent="0.25">
      <c r="A280" s="1">
        <v>279</v>
      </c>
      <c r="B280" s="6"/>
      <c r="D280" s="1" t="e">
        <f t="shared" si="93"/>
        <v>#VALUE!</v>
      </c>
      <c r="E280" s="1" t="e">
        <f t="shared" si="94"/>
        <v>#VALUE!</v>
      </c>
      <c r="F280" s="1" t="e">
        <f>AVERAGE($E$2:E280)</f>
        <v>#VALUE!</v>
      </c>
      <c r="G280" s="1" t="e">
        <f t="shared" si="86"/>
        <v>#VALUE!</v>
      </c>
      <c r="H280" s="1" t="e">
        <f t="shared" si="87"/>
        <v>#VALUE!</v>
      </c>
      <c r="I280" s="1" t="e">
        <f>AVERAGE($D$2:D280)</f>
        <v>#VALUE!</v>
      </c>
      <c r="J280" s="1" t="e">
        <f t="shared" si="88"/>
        <v>#VALUE!</v>
      </c>
      <c r="K280" s="4" t="e" cm="1">
        <f t="array" ref="K280">_xlfn.IFS(J280&gt;60, J280-60, J280&lt;60, J280, J280=60, 0)</f>
        <v>#VALUE!</v>
      </c>
      <c r="L280" s="1" t="e">
        <f t="shared" si="89"/>
        <v>#VALUE!</v>
      </c>
      <c r="M280" s="3" t="e">
        <f t="shared" si="90"/>
        <v>#VALUE!</v>
      </c>
      <c r="N280" s="1" t="e">
        <f t="shared" si="91"/>
        <v>#VALUE!</v>
      </c>
      <c r="O280" s="2" t="str">
        <f t="shared" si="92"/>
        <v/>
      </c>
      <c r="P280" s="1" t="str">
        <f t="shared" si="85"/>
        <v/>
      </c>
      <c r="Q280" s="47" t="str">
        <f>IF(COUNTA(C280)=1,(Table1[[#This Row],[min]]+(Table1[[#This Row],[sec]]/60))/1440, "")</f>
        <v/>
      </c>
    </row>
    <row r="281" spans="1:17" x14ac:dyDescent="0.25">
      <c r="A281" s="1">
        <v>280</v>
      </c>
      <c r="B281" s="6"/>
      <c r="D281" s="1" t="e">
        <f t="shared" si="93"/>
        <v>#VALUE!</v>
      </c>
      <c r="E281" s="1" t="e">
        <f t="shared" si="94"/>
        <v>#VALUE!</v>
      </c>
      <c r="F281" s="1" t="e">
        <f>AVERAGE($E$2:E281)</f>
        <v>#VALUE!</v>
      </c>
      <c r="G281" s="1" t="e">
        <f t="shared" si="86"/>
        <v>#VALUE!</v>
      </c>
      <c r="H281" s="1" t="e">
        <f t="shared" si="87"/>
        <v>#VALUE!</v>
      </c>
      <c r="I281" s="1" t="e">
        <f>AVERAGE($D$2:D281)</f>
        <v>#VALUE!</v>
      </c>
      <c r="J281" s="1" t="e">
        <f t="shared" si="88"/>
        <v>#VALUE!</v>
      </c>
      <c r="K281" s="4" t="e" cm="1">
        <f t="array" ref="K281">_xlfn.IFS(J281&gt;60, J281-60, J281&lt;60, J281, J281=60, 0)</f>
        <v>#VALUE!</v>
      </c>
      <c r="L281" s="1" t="e">
        <f t="shared" si="89"/>
        <v>#VALUE!</v>
      </c>
      <c r="M281" s="3" t="e">
        <f t="shared" si="90"/>
        <v>#VALUE!</v>
      </c>
      <c r="N281" s="1" t="e">
        <f t="shared" si="91"/>
        <v>#VALUE!</v>
      </c>
      <c r="O281" s="2" t="str">
        <f t="shared" si="92"/>
        <v/>
      </c>
      <c r="P281" s="1" t="str">
        <f t="shared" ref="P281:P344" si="95">IF(COUNTA(B281)=1,TEXT(B281, "mmmm"), "")</f>
        <v/>
      </c>
      <c r="Q281" s="47" t="str">
        <f>IF(COUNTA(C281)=1,(Table1[[#This Row],[min]]+(Table1[[#This Row],[sec]]/60))/1440, "")</f>
        <v/>
      </c>
    </row>
    <row r="282" spans="1:17" x14ac:dyDescent="0.25">
      <c r="A282" s="1">
        <v>281</v>
      </c>
      <c r="B282" s="6"/>
      <c r="D282" s="1" t="e">
        <f t="shared" si="93"/>
        <v>#VALUE!</v>
      </c>
      <c r="E282" s="1" t="e">
        <f t="shared" si="94"/>
        <v>#VALUE!</v>
      </c>
      <c r="F282" s="1" t="e">
        <f>AVERAGE($E$2:E282)</f>
        <v>#VALUE!</v>
      </c>
      <c r="G282" s="1" t="e">
        <f t="shared" si="86"/>
        <v>#VALUE!</v>
      </c>
      <c r="H282" s="1" t="e">
        <f t="shared" si="87"/>
        <v>#VALUE!</v>
      </c>
      <c r="I282" s="1" t="e">
        <f>AVERAGE($D$2:D282)</f>
        <v>#VALUE!</v>
      </c>
      <c r="J282" s="1" t="e">
        <f t="shared" si="88"/>
        <v>#VALUE!</v>
      </c>
      <c r="K282" s="4" t="e" cm="1">
        <f t="array" ref="K282">_xlfn.IFS(J282&gt;60, J282-60, J282&lt;60, J282, J282=60, 0)</f>
        <v>#VALUE!</v>
      </c>
      <c r="L282" s="1" t="e">
        <f t="shared" si="89"/>
        <v>#VALUE!</v>
      </c>
      <c r="M282" s="3" t="e">
        <f t="shared" si="90"/>
        <v>#VALUE!</v>
      </c>
      <c r="N282" s="1" t="e">
        <f t="shared" si="91"/>
        <v>#VALUE!</v>
      </c>
      <c r="O282" s="2" t="str">
        <f t="shared" si="92"/>
        <v/>
      </c>
      <c r="P282" s="1" t="str">
        <f t="shared" si="95"/>
        <v/>
      </c>
      <c r="Q282" s="47" t="str">
        <f>IF(COUNTA(C282)=1,(Table1[[#This Row],[min]]+(Table1[[#This Row],[sec]]/60))/1440, "")</f>
        <v/>
      </c>
    </row>
    <row r="283" spans="1:17" x14ac:dyDescent="0.25">
      <c r="A283" s="1">
        <v>282</v>
      </c>
      <c r="B283" s="6"/>
      <c r="D283" s="1" t="e">
        <f t="shared" si="93"/>
        <v>#VALUE!</v>
      </c>
      <c r="E283" s="1" t="e">
        <f t="shared" si="94"/>
        <v>#VALUE!</v>
      </c>
      <c r="F283" s="1" t="e">
        <f>AVERAGE($E$2:E283)</f>
        <v>#VALUE!</v>
      </c>
      <c r="G283" s="1" t="e">
        <f t="shared" si="86"/>
        <v>#VALUE!</v>
      </c>
      <c r="H283" s="1" t="e">
        <f t="shared" si="87"/>
        <v>#VALUE!</v>
      </c>
      <c r="I283" s="1" t="e">
        <f>AVERAGE($D$2:D283)</f>
        <v>#VALUE!</v>
      </c>
      <c r="J283" s="1" t="e">
        <f t="shared" si="88"/>
        <v>#VALUE!</v>
      </c>
      <c r="K283" s="4" t="e" cm="1">
        <f t="array" ref="K283">_xlfn.IFS(J283&gt;60, J283-60, J283&lt;60, J283, J283=60, 0)</f>
        <v>#VALUE!</v>
      </c>
      <c r="L283" s="1" t="e">
        <f t="shared" si="89"/>
        <v>#VALUE!</v>
      </c>
      <c r="M283" s="3" t="e">
        <f t="shared" si="90"/>
        <v>#VALUE!</v>
      </c>
      <c r="N283" s="1" t="e">
        <f t="shared" si="91"/>
        <v>#VALUE!</v>
      </c>
      <c r="O283" s="2" t="str">
        <f t="shared" si="92"/>
        <v/>
      </c>
      <c r="P283" s="1" t="str">
        <f t="shared" si="95"/>
        <v/>
      </c>
      <c r="Q283" s="47" t="str">
        <f>IF(COUNTA(C283)=1,(Table1[[#This Row],[min]]+(Table1[[#This Row],[sec]]/60))/1440, "")</f>
        <v/>
      </c>
    </row>
    <row r="284" spans="1:17" x14ac:dyDescent="0.25">
      <c r="A284" s="1">
        <v>283</v>
      </c>
      <c r="B284" s="6"/>
      <c r="D284" s="1" t="e">
        <f t="shared" si="93"/>
        <v>#VALUE!</v>
      </c>
      <c r="E284" s="1" t="e">
        <f t="shared" si="94"/>
        <v>#VALUE!</v>
      </c>
      <c r="F284" s="1" t="e">
        <f>AVERAGE($E$2:E284)</f>
        <v>#VALUE!</v>
      </c>
      <c r="G284" s="1" t="e">
        <f t="shared" si="86"/>
        <v>#VALUE!</v>
      </c>
      <c r="H284" s="1" t="e">
        <f t="shared" si="87"/>
        <v>#VALUE!</v>
      </c>
      <c r="I284" s="1" t="e">
        <f>AVERAGE($D$2:D284)</f>
        <v>#VALUE!</v>
      </c>
      <c r="J284" s="1" t="e">
        <f t="shared" si="88"/>
        <v>#VALUE!</v>
      </c>
      <c r="K284" s="4" t="e" cm="1">
        <f t="array" ref="K284">_xlfn.IFS(J284&gt;60, J284-60, J284&lt;60, J284, J284=60, 0)</f>
        <v>#VALUE!</v>
      </c>
      <c r="L284" s="1" t="e">
        <f t="shared" si="89"/>
        <v>#VALUE!</v>
      </c>
      <c r="M284" s="3" t="e">
        <f t="shared" si="90"/>
        <v>#VALUE!</v>
      </c>
      <c r="N284" s="1" t="e">
        <f t="shared" si="91"/>
        <v>#VALUE!</v>
      </c>
      <c r="O284" s="2" t="str">
        <f t="shared" si="92"/>
        <v/>
      </c>
      <c r="P284" s="1" t="str">
        <f t="shared" si="95"/>
        <v/>
      </c>
      <c r="Q284" s="47" t="str">
        <f>IF(COUNTA(C284)=1,(Table1[[#This Row],[min]]+(Table1[[#This Row],[sec]]/60))/1440, "")</f>
        <v/>
      </c>
    </row>
    <row r="285" spans="1:17" x14ac:dyDescent="0.25">
      <c r="A285" s="1">
        <v>284</v>
      </c>
      <c r="B285" s="6"/>
      <c r="D285" s="1" t="e">
        <f t="shared" si="93"/>
        <v>#VALUE!</v>
      </c>
      <c r="E285" s="1" t="e">
        <f t="shared" si="94"/>
        <v>#VALUE!</v>
      </c>
      <c r="F285" s="1" t="e">
        <f>AVERAGE($E$2:E285)</f>
        <v>#VALUE!</v>
      </c>
      <c r="G285" s="1" t="e">
        <f t="shared" si="86"/>
        <v>#VALUE!</v>
      </c>
      <c r="H285" s="1" t="e">
        <f t="shared" si="87"/>
        <v>#VALUE!</v>
      </c>
      <c r="I285" s="1" t="e">
        <f>AVERAGE($D$2:D285)</f>
        <v>#VALUE!</v>
      </c>
      <c r="J285" s="1" t="e">
        <f t="shared" si="88"/>
        <v>#VALUE!</v>
      </c>
      <c r="K285" s="4" t="e" cm="1">
        <f t="array" ref="K285">_xlfn.IFS(J285&gt;60, J285-60, J285&lt;60, J285, J285=60, 0)</f>
        <v>#VALUE!</v>
      </c>
      <c r="L285" s="1" t="e">
        <f t="shared" si="89"/>
        <v>#VALUE!</v>
      </c>
      <c r="M285" s="3" t="e">
        <f t="shared" si="90"/>
        <v>#VALUE!</v>
      </c>
      <c r="N285" s="1" t="e">
        <f t="shared" si="91"/>
        <v>#VALUE!</v>
      </c>
      <c r="O285" s="2" t="str">
        <f t="shared" si="92"/>
        <v/>
      </c>
      <c r="P285" s="1" t="str">
        <f t="shared" si="95"/>
        <v/>
      </c>
      <c r="Q285" s="47" t="str">
        <f>IF(COUNTA(C285)=1,(Table1[[#This Row],[min]]+(Table1[[#This Row],[sec]]/60))/1440, "")</f>
        <v/>
      </c>
    </row>
    <row r="286" spans="1:17" x14ac:dyDescent="0.25">
      <c r="A286" s="1">
        <v>285</v>
      </c>
      <c r="B286" s="6"/>
      <c r="D286" s="1" t="e">
        <f t="shared" si="93"/>
        <v>#VALUE!</v>
      </c>
      <c r="E286" s="1" t="e">
        <f t="shared" si="94"/>
        <v>#VALUE!</v>
      </c>
      <c r="F286" s="1" t="e">
        <f>AVERAGE($E$2:E286)</f>
        <v>#VALUE!</v>
      </c>
      <c r="G286" s="1" t="e">
        <f t="shared" si="86"/>
        <v>#VALUE!</v>
      </c>
      <c r="H286" s="1" t="e">
        <f t="shared" si="87"/>
        <v>#VALUE!</v>
      </c>
      <c r="I286" s="1" t="e">
        <f>AVERAGE($D$2:D286)</f>
        <v>#VALUE!</v>
      </c>
      <c r="J286" s="1" t="e">
        <f t="shared" si="88"/>
        <v>#VALUE!</v>
      </c>
      <c r="K286" s="4" t="e" cm="1">
        <f t="array" ref="K286">_xlfn.IFS(J286&gt;60, J286-60, J286&lt;60, J286, J286=60, 0)</f>
        <v>#VALUE!</v>
      </c>
      <c r="L286" s="1" t="e">
        <f t="shared" si="89"/>
        <v>#VALUE!</v>
      </c>
      <c r="M286" s="3" t="e">
        <f t="shared" si="90"/>
        <v>#VALUE!</v>
      </c>
      <c r="N286" s="1" t="e">
        <f t="shared" si="91"/>
        <v>#VALUE!</v>
      </c>
      <c r="O286" s="2" t="str">
        <f t="shared" si="92"/>
        <v/>
      </c>
      <c r="P286" s="1" t="str">
        <f t="shared" si="95"/>
        <v/>
      </c>
      <c r="Q286" s="47" t="str">
        <f>IF(COUNTA(C286)=1,(Table1[[#This Row],[min]]+(Table1[[#This Row],[sec]]/60))/1440, "")</f>
        <v/>
      </c>
    </row>
    <row r="287" spans="1:17" x14ac:dyDescent="0.25">
      <c r="A287" s="1">
        <v>286</v>
      </c>
      <c r="B287" s="6"/>
      <c r="D287" s="1" t="e">
        <f t="shared" si="93"/>
        <v>#VALUE!</v>
      </c>
      <c r="E287" s="1" t="e">
        <f t="shared" si="94"/>
        <v>#VALUE!</v>
      </c>
      <c r="F287" s="1" t="e">
        <f>AVERAGE($E$2:E287)</f>
        <v>#VALUE!</v>
      </c>
      <c r="G287" s="1" t="e">
        <f t="shared" si="86"/>
        <v>#VALUE!</v>
      </c>
      <c r="H287" s="1" t="e">
        <f t="shared" si="87"/>
        <v>#VALUE!</v>
      </c>
      <c r="I287" s="1" t="e">
        <f>AVERAGE($D$2:D287)</f>
        <v>#VALUE!</v>
      </c>
      <c r="J287" s="1" t="e">
        <f t="shared" si="88"/>
        <v>#VALUE!</v>
      </c>
      <c r="K287" s="4" t="e" cm="1">
        <f t="array" ref="K287">_xlfn.IFS(J287&gt;60, J287-60, J287&lt;60, J287, J287=60, 0)</f>
        <v>#VALUE!</v>
      </c>
      <c r="L287" s="1" t="e">
        <f t="shared" si="89"/>
        <v>#VALUE!</v>
      </c>
      <c r="M287" s="3" t="e">
        <f t="shared" si="90"/>
        <v>#VALUE!</v>
      </c>
      <c r="N287" s="1" t="e">
        <f t="shared" si="91"/>
        <v>#VALUE!</v>
      </c>
      <c r="O287" s="2" t="str">
        <f t="shared" si="92"/>
        <v/>
      </c>
      <c r="P287" s="1" t="str">
        <f t="shared" si="95"/>
        <v/>
      </c>
      <c r="Q287" s="47" t="str">
        <f>IF(COUNTA(C287)=1,(Table1[[#This Row],[min]]+(Table1[[#This Row],[sec]]/60))/1440, "")</f>
        <v/>
      </c>
    </row>
    <row r="288" spans="1:17" x14ac:dyDescent="0.25">
      <c r="A288" s="1">
        <v>287</v>
      </c>
      <c r="B288" s="6"/>
      <c r="D288" s="1" t="e">
        <f t="shared" si="93"/>
        <v>#VALUE!</v>
      </c>
      <c r="E288" s="1" t="e">
        <f t="shared" si="94"/>
        <v>#VALUE!</v>
      </c>
      <c r="F288" s="1" t="e">
        <f>AVERAGE($E$2:E288)</f>
        <v>#VALUE!</v>
      </c>
      <c r="G288" s="1" t="e">
        <f t="shared" si="86"/>
        <v>#VALUE!</v>
      </c>
      <c r="H288" s="1" t="e">
        <f t="shared" si="87"/>
        <v>#VALUE!</v>
      </c>
      <c r="I288" s="1" t="e">
        <f>AVERAGE($D$2:D288)</f>
        <v>#VALUE!</v>
      </c>
      <c r="J288" s="1" t="e">
        <f t="shared" si="88"/>
        <v>#VALUE!</v>
      </c>
      <c r="K288" s="4" t="e" cm="1">
        <f t="array" ref="K288">_xlfn.IFS(J288&gt;60, J288-60, J288&lt;60, J288, J288=60, 0)</f>
        <v>#VALUE!</v>
      </c>
      <c r="L288" s="1" t="e">
        <f t="shared" si="89"/>
        <v>#VALUE!</v>
      </c>
      <c r="M288" s="3" t="e">
        <f t="shared" si="90"/>
        <v>#VALUE!</v>
      </c>
      <c r="N288" s="1" t="e">
        <f t="shared" si="91"/>
        <v>#VALUE!</v>
      </c>
      <c r="O288" s="2" t="str">
        <f t="shared" si="92"/>
        <v/>
      </c>
      <c r="P288" s="1" t="str">
        <f t="shared" si="95"/>
        <v/>
      </c>
      <c r="Q288" s="47" t="str">
        <f>IF(COUNTA(C288)=1,(Table1[[#This Row],[min]]+(Table1[[#This Row],[sec]]/60))/1440, "")</f>
        <v/>
      </c>
    </row>
    <row r="289" spans="1:17" x14ac:dyDescent="0.25">
      <c r="A289" s="1">
        <v>288</v>
      </c>
      <c r="B289" s="6"/>
      <c r="D289" s="1" t="e">
        <f t="shared" si="93"/>
        <v>#VALUE!</v>
      </c>
      <c r="E289" s="1" t="e">
        <f t="shared" si="94"/>
        <v>#VALUE!</v>
      </c>
      <c r="F289" s="1" t="e">
        <f>AVERAGE($E$2:E289)</f>
        <v>#VALUE!</v>
      </c>
      <c r="G289" s="1" t="e">
        <f t="shared" si="86"/>
        <v>#VALUE!</v>
      </c>
      <c r="H289" s="1" t="e">
        <f t="shared" si="87"/>
        <v>#VALUE!</v>
      </c>
      <c r="I289" s="1" t="e">
        <f>AVERAGE($D$2:D289)</f>
        <v>#VALUE!</v>
      </c>
      <c r="J289" s="1" t="e">
        <f t="shared" si="88"/>
        <v>#VALUE!</v>
      </c>
      <c r="K289" s="4" t="e" cm="1">
        <f t="array" ref="K289">_xlfn.IFS(J289&gt;60, J289-60, J289&lt;60, J289, J289=60, 0)</f>
        <v>#VALUE!</v>
      </c>
      <c r="L289" s="1" t="e">
        <f t="shared" si="89"/>
        <v>#VALUE!</v>
      </c>
      <c r="M289" s="3" t="e">
        <f t="shared" si="90"/>
        <v>#VALUE!</v>
      </c>
      <c r="N289" s="1" t="e">
        <f t="shared" si="91"/>
        <v>#VALUE!</v>
      </c>
      <c r="O289" s="2" t="str">
        <f t="shared" si="92"/>
        <v/>
      </c>
      <c r="P289" s="1" t="str">
        <f t="shared" si="95"/>
        <v/>
      </c>
      <c r="Q289" s="47" t="str">
        <f>IF(COUNTA(C289)=1,(Table1[[#This Row],[min]]+(Table1[[#This Row],[sec]]/60))/1440, "")</f>
        <v/>
      </c>
    </row>
    <row r="290" spans="1:17" x14ac:dyDescent="0.25">
      <c r="A290" s="1">
        <v>289</v>
      </c>
      <c r="B290" s="6"/>
      <c r="D290" s="1" t="e">
        <f t="shared" si="93"/>
        <v>#VALUE!</v>
      </c>
      <c r="E290" s="1" t="e">
        <f t="shared" si="94"/>
        <v>#VALUE!</v>
      </c>
      <c r="F290" s="1" t="e">
        <f>AVERAGE($E$2:E290)</f>
        <v>#VALUE!</v>
      </c>
      <c r="G290" s="1" t="e">
        <f t="shared" si="86"/>
        <v>#VALUE!</v>
      </c>
      <c r="H290" s="1" t="e">
        <f t="shared" si="87"/>
        <v>#VALUE!</v>
      </c>
      <c r="I290" s="1" t="e">
        <f>AVERAGE($D$2:D290)</f>
        <v>#VALUE!</v>
      </c>
      <c r="J290" s="1" t="e">
        <f t="shared" si="88"/>
        <v>#VALUE!</v>
      </c>
      <c r="K290" s="4" t="e" cm="1">
        <f t="array" ref="K290">_xlfn.IFS(J290&gt;60, J290-60, J290&lt;60, J290, J290=60, 0)</f>
        <v>#VALUE!</v>
      </c>
      <c r="L290" s="1" t="e">
        <f t="shared" si="89"/>
        <v>#VALUE!</v>
      </c>
      <c r="M290" s="3" t="e">
        <f t="shared" si="90"/>
        <v>#VALUE!</v>
      </c>
      <c r="N290" s="1" t="e">
        <f t="shared" si="91"/>
        <v>#VALUE!</v>
      </c>
      <c r="O290" s="2" t="str">
        <f t="shared" si="92"/>
        <v/>
      </c>
      <c r="P290" s="1" t="str">
        <f t="shared" si="95"/>
        <v/>
      </c>
      <c r="Q290" s="47" t="str">
        <f>IF(COUNTA(C290)=1,(Table1[[#This Row],[min]]+(Table1[[#This Row],[sec]]/60))/1440, "")</f>
        <v/>
      </c>
    </row>
    <row r="291" spans="1:17" x14ac:dyDescent="0.25">
      <c r="A291" s="1">
        <v>290</v>
      </c>
      <c r="B291" s="6"/>
      <c r="D291" s="1" t="e">
        <f t="shared" si="93"/>
        <v>#VALUE!</v>
      </c>
      <c r="E291" s="1" t="e">
        <f t="shared" si="94"/>
        <v>#VALUE!</v>
      </c>
      <c r="F291" s="1" t="e">
        <f>AVERAGE($E$2:E291)</f>
        <v>#VALUE!</v>
      </c>
      <c r="G291" s="1" t="e">
        <f t="shared" ref="G291:G349" si="96">IF(INT(F291)=F291,0,VALUE(MID(F291,2,4)))</f>
        <v>#VALUE!</v>
      </c>
      <c r="H291" s="1" t="e">
        <f t="shared" ref="H291:H349" si="97">G291*60</f>
        <v>#VALUE!</v>
      </c>
      <c r="I291" s="1" t="e">
        <f>AVERAGE($D$2:D291)</f>
        <v>#VALUE!</v>
      </c>
      <c r="J291" s="1" t="e">
        <f t="shared" ref="J291:J349" si="98">H291+I291</f>
        <v>#VALUE!</v>
      </c>
      <c r="K291" s="4" t="e" cm="1">
        <f t="array" ref="K291">_xlfn.IFS(J291&gt;60, J291-60, J291&lt;60, J291, J291=60, 0)</f>
        <v>#VALUE!</v>
      </c>
      <c r="L291" s="1" t="e">
        <f t="shared" ref="L291:L349" si="99">IF(J291&gt;60, 1 + VALUE(LEFT(F291,1)), VALUE(LEFT(F291,1)))</f>
        <v>#VALUE!</v>
      </c>
      <c r="M291" s="3" t="e">
        <f t="shared" ref="M291:M349" si="100" xml:space="preserve"> VALUE(LEFT(K291,5))</f>
        <v>#VALUE!</v>
      </c>
      <c r="N291" s="1" t="e">
        <f t="shared" ref="N291:N349" si="101">IF(K291&lt;10, CONCATENATE(L291, ":", 0, M291, " min/km"), CONCATENATE(L291, ":", M291, " min/km"))</f>
        <v>#VALUE!</v>
      </c>
      <c r="O291" s="2" t="str">
        <f t="shared" ref="O291:O349" si="102">IF(COUNT(C291)=1, N291, "")</f>
        <v/>
      </c>
      <c r="P291" s="1" t="str">
        <f t="shared" si="95"/>
        <v/>
      </c>
      <c r="Q291" s="47" t="str">
        <f>IF(COUNTA(C291)=1,(Table1[[#This Row],[min]]+(Table1[[#This Row],[sec]]/60))/1440, "")</f>
        <v/>
      </c>
    </row>
    <row r="292" spans="1:17" x14ac:dyDescent="0.25">
      <c r="A292" s="1">
        <v>291</v>
      </c>
      <c r="B292" s="6"/>
      <c r="D292" s="1" t="e">
        <f t="shared" si="93"/>
        <v>#VALUE!</v>
      </c>
      <c r="E292" s="1" t="e">
        <f t="shared" si="94"/>
        <v>#VALUE!</v>
      </c>
      <c r="F292" s="1" t="e">
        <f>AVERAGE($E$2:E292)</f>
        <v>#VALUE!</v>
      </c>
      <c r="G292" s="1" t="e">
        <f t="shared" si="96"/>
        <v>#VALUE!</v>
      </c>
      <c r="H292" s="1" t="e">
        <f t="shared" si="97"/>
        <v>#VALUE!</v>
      </c>
      <c r="I292" s="1" t="e">
        <f>AVERAGE($D$2:D292)</f>
        <v>#VALUE!</v>
      </c>
      <c r="J292" s="1" t="e">
        <f t="shared" si="98"/>
        <v>#VALUE!</v>
      </c>
      <c r="K292" s="4" t="e" cm="1">
        <f t="array" ref="K292">_xlfn.IFS(J292&gt;60, J292-60, J292&lt;60, J292, J292=60, 0)</f>
        <v>#VALUE!</v>
      </c>
      <c r="L292" s="1" t="e">
        <f t="shared" si="99"/>
        <v>#VALUE!</v>
      </c>
      <c r="M292" s="3" t="e">
        <f t="shared" si="100"/>
        <v>#VALUE!</v>
      </c>
      <c r="N292" s="1" t="e">
        <f t="shared" si="101"/>
        <v>#VALUE!</v>
      </c>
      <c r="O292" s="2" t="str">
        <f t="shared" si="102"/>
        <v/>
      </c>
      <c r="P292" s="1" t="str">
        <f t="shared" si="95"/>
        <v/>
      </c>
      <c r="Q292" s="47" t="str">
        <f>IF(COUNTA(C292)=1,(Table1[[#This Row],[min]]+(Table1[[#This Row],[sec]]/60))/1440, "")</f>
        <v/>
      </c>
    </row>
    <row r="293" spans="1:17" x14ac:dyDescent="0.25">
      <c r="A293" s="1">
        <v>292</v>
      </c>
      <c r="B293" s="6"/>
      <c r="D293" s="1" t="e">
        <f t="shared" si="93"/>
        <v>#VALUE!</v>
      </c>
      <c r="E293" s="1" t="e">
        <f t="shared" si="94"/>
        <v>#VALUE!</v>
      </c>
      <c r="F293" s="1" t="e">
        <f>AVERAGE($E$2:E293)</f>
        <v>#VALUE!</v>
      </c>
      <c r="G293" s="1" t="e">
        <f t="shared" si="96"/>
        <v>#VALUE!</v>
      </c>
      <c r="H293" s="1" t="e">
        <f t="shared" si="97"/>
        <v>#VALUE!</v>
      </c>
      <c r="I293" s="1" t="e">
        <f>AVERAGE($D$2:D293)</f>
        <v>#VALUE!</v>
      </c>
      <c r="J293" s="1" t="e">
        <f t="shared" si="98"/>
        <v>#VALUE!</v>
      </c>
      <c r="K293" s="4" t="e" cm="1">
        <f t="array" ref="K293">_xlfn.IFS(J293&gt;60, J293-60, J293&lt;60, J293, J293=60, 0)</f>
        <v>#VALUE!</v>
      </c>
      <c r="L293" s="1" t="e">
        <f t="shared" si="99"/>
        <v>#VALUE!</v>
      </c>
      <c r="M293" s="3" t="e">
        <f t="shared" si="100"/>
        <v>#VALUE!</v>
      </c>
      <c r="N293" s="1" t="e">
        <f t="shared" si="101"/>
        <v>#VALUE!</v>
      </c>
      <c r="O293" s="2" t="str">
        <f t="shared" si="102"/>
        <v/>
      </c>
      <c r="P293" s="1" t="str">
        <f t="shared" si="95"/>
        <v/>
      </c>
      <c r="Q293" s="47" t="str">
        <f>IF(COUNTA(C293)=1,(Table1[[#This Row],[min]]+(Table1[[#This Row],[sec]]/60))/1440, "")</f>
        <v/>
      </c>
    </row>
    <row r="294" spans="1:17" x14ac:dyDescent="0.25">
      <c r="A294" s="1">
        <v>293</v>
      </c>
      <c r="B294" s="6"/>
      <c r="D294" s="1" t="e">
        <f t="shared" si="93"/>
        <v>#VALUE!</v>
      </c>
      <c r="E294" s="1" t="e">
        <f t="shared" si="94"/>
        <v>#VALUE!</v>
      </c>
      <c r="F294" s="1" t="e">
        <f>AVERAGE($E$2:E294)</f>
        <v>#VALUE!</v>
      </c>
      <c r="G294" s="1" t="e">
        <f t="shared" si="96"/>
        <v>#VALUE!</v>
      </c>
      <c r="H294" s="1" t="e">
        <f t="shared" si="97"/>
        <v>#VALUE!</v>
      </c>
      <c r="I294" s="1" t="e">
        <f>AVERAGE($D$2:D294)</f>
        <v>#VALUE!</v>
      </c>
      <c r="J294" s="1" t="e">
        <f t="shared" si="98"/>
        <v>#VALUE!</v>
      </c>
      <c r="K294" s="4" t="e" cm="1">
        <f t="array" ref="K294">_xlfn.IFS(J294&gt;60, J294-60, J294&lt;60, J294, J294=60, 0)</f>
        <v>#VALUE!</v>
      </c>
      <c r="L294" s="1" t="e">
        <f t="shared" si="99"/>
        <v>#VALUE!</v>
      </c>
      <c r="M294" s="3" t="e">
        <f t="shared" si="100"/>
        <v>#VALUE!</v>
      </c>
      <c r="N294" s="1" t="e">
        <f t="shared" si="101"/>
        <v>#VALUE!</v>
      </c>
      <c r="O294" s="2" t="str">
        <f t="shared" si="102"/>
        <v/>
      </c>
      <c r="P294" s="1" t="str">
        <f t="shared" si="95"/>
        <v/>
      </c>
      <c r="Q294" s="47" t="str">
        <f>IF(COUNTA(C294)=1,(Table1[[#This Row],[min]]+(Table1[[#This Row],[sec]]/60))/1440, "")</f>
        <v/>
      </c>
    </row>
    <row r="295" spans="1:17" x14ac:dyDescent="0.25">
      <c r="A295" s="1">
        <v>294</v>
      </c>
      <c r="B295" s="6"/>
      <c r="D295" s="1" t="e">
        <f t="shared" ref="D295:D349" si="103">VALUE(RIGHT(C295, 2))</f>
        <v>#VALUE!</v>
      </c>
      <c r="E295" s="1" t="e">
        <f t="shared" ref="E295:E349" si="104">VALUE(LEFT(C295,1))</f>
        <v>#VALUE!</v>
      </c>
      <c r="F295" s="1" t="e">
        <f>AVERAGE($E$2:E295)</f>
        <v>#VALUE!</v>
      </c>
      <c r="G295" s="1" t="e">
        <f t="shared" si="96"/>
        <v>#VALUE!</v>
      </c>
      <c r="H295" s="1" t="e">
        <f t="shared" si="97"/>
        <v>#VALUE!</v>
      </c>
      <c r="I295" s="1" t="e">
        <f>AVERAGE($D$2:D295)</f>
        <v>#VALUE!</v>
      </c>
      <c r="J295" s="1" t="e">
        <f t="shared" si="98"/>
        <v>#VALUE!</v>
      </c>
      <c r="K295" s="4" t="e" cm="1">
        <f t="array" ref="K295">_xlfn.IFS(J295&gt;60, J295-60, J295&lt;60, J295, J295=60, 0)</f>
        <v>#VALUE!</v>
      </c>
      <c r="L295" s="1" t="e">
        <f t="shared" si="99"/>
        <v>#VALUE!</v>
      </c>
      <c r="M295" s="3" t="e">
        <f t="shared" si="100"/>
        <v>#VALUE!</v>
      </c>
      <c r="N295" s="1" t="e">
        <f t="shared" si="101"/>
        <v>#VALUE!</v>
      </c>
      <c r="O295" s="2" t="str">
        <f t="shared" si="102"/>
        <v/>
      </c>
      <c r="P295" s="1" t="str">
        <f t="shared" si="95"/>
        <v/>
      </c>
      <c r="Q295" s="47" t="str">
        <f>IF(COUNTA(C295)=1,(Table1[[#This Row],[min]]+(Table1[[#This Row],[sec]]/60))/1440, "")</f>
        <v/>
      </c>
    </row>
    <row r="296" spans="1:17" x14ac:dyDescent="0.25">
      <c r="A296" s="1">
        <v>295</v>
      </c>
      <c r="B296" s="6"/>
      <c r="D296" s="1" t="e">
        <f t="shared" si="103"/>
        <v>#VALUE!</v>
      </c>
      <c r="E296" s="1" t="e">
        <f t="shared" si="104"/>
        <v>#VALUE!</v>
      </c>
      <c r="F296" s="1" t="e">
        <f>AVERAGE($E$2:E296)</f>
        <v>#VALUE!</v>
      </c>
      <c r="G296" s="1" t="e">
        <f t="shared" si="96"/>
        <v>#VALUE!</v>
      </c>
      <c r="H296" s="1" t="e">
        <f t="shared" si="97"/>
        <v>#VALUE!</v>
      </c>
      <c r="I296" s="1" t="e">
        <f>AVERAGE($D$2:D296)</f>
        <v>#VALUE!</v>
      </c>
      <c r="J296" s="1" t="e">
        <f t="shared" si="98"/>
        <v>#VALUE!</v>
      </c>
      <c r="K296" s="4" t="e" cm="1">
        <f t="array" ref="K296">_xlfn.IFS(J296&gt;60, J296-60, J296&lt;60, J296, J296=60, 0)</f>
        <v>#VALUE!</v>
      </c>
      <c r="L296" s="1" t="e">
        <f t="shared" si="99"/>
        <v>#VALUE!</v>
      </c>
      <c r="M296" s="3" t="e">
        <f t="shared" si="100"/>
        <v>#VALUE!</v>
      </c>
      <c r="N296" s="1" t="e">
        <f t="shared" si="101"/>
        <v>#VALUE!</v>
      </c>
      <c r="O296" s="2" t="str">
        <f t="shared" si="102"/>
        <v/>
      </c>
      <c r="P296" s="1" t="str">
        <f t="shared" si="95"/>
        <v/>
      </c>
      <c r="Q296" s="47" t="str">
        <f>IF(COUNTA(C296)=1,(Table1[[#This Row],[min]]+(Table1[[#This Row],[sec]]/60))/1440, "")</f>
        <v/>
      </c>
    </row>
    <row r="297" spans="1:17" x14ac:dyDescent="0.25">
      <c r="A297" s="1">
        <v>296</v>
      </c>
      <c r="B297" s="6"/>
      <c r="D297" s="1" t="e">
        <f t="shared" si="103"/>
        <v>#VALUE!</v>
      </c>
      <c r="E297" s="1" t="e">
        <f t="shared" si="104"/>
        <v>#VALUE!</v>
      </c>
      <c r="F297" s="1" t="e">
        <f>AVERAGE($E$2:E297)</f>
        <v>#VALUE!</v>
      </c>
      <c r="G297" s="1" t="e">
        <f t="shared" si="96"/>
        <v>#VALUE!</v>
      </c>
      <c r="H297" s="1" t="e">
        <f t="shared" si="97"/>
        <v>#VALUE!</v>
      </c>
      <c r="I297" s="1" t="e">
        <f>AVERAGE($D$2:D297)</f>
        <v>#VALUE!</v>
      </c>
      <c r="J297" s="1" t="e">
        <f t="shared" si="98"/>
        <v>#VALUE!</v>
      </c>
      <c r="K297" s="4" t="e" cm="1">
        <f t="array" ref="K297">_xlfn.IFS(J297&gt;60, J297-60, J297&lt;60, J297, J297=60, 0)</f>
        <v>#VALUE!</v>
      </c>
      <c r="L297" s="1" t="e">
        <f t="shared" si="99"/>
        <v>#VALUE!</v>
      </c>
      <c r="M297" s="3" t="e">
        <f t="shared" si="100"/>
        <v>#VALUE!</v>
      </c>
      <c r="N297" s="1" t="e">
        <f t="shared" si="101"/>
        <v>#VALUE!</v>
      </c>
      <c r="O297" s="2" t="str">
        <f t="shared" si="102"/>
        <v/>
      </c>
      <c r="P297" s="1" t="str">
        <f t="shared" si="95"/>
        <v/>
      </c>
      <c r="Q297" s="47" t="str">
        <f>IF(COUNTA(C297)=1,(Table1[[#This Row],[min]]+(Table1[[#This Row],[sec]]/60))/1440, "")</f>
        <v/>
      </c>
    </row>
    <row r="298" spans="1:17" x14ac:dyDescent="0.25">
      <c r="A298" s="1">
        <v>297</v>
      </c>
      <c r="B298" s="6"/>
      <c r="D298" s="1" t="e">
        <f t="shared" si="103"/>
        <v>#VALUE!</v>
      </c>
      <c r="E298" s="1" t="e">
        <f t="shared" si="104"/>
        <v>#VALUE!</v>
      </c>
      <c r="F298" s="1" t="e">
        <f>AVERAGE($E$2:E298)</f>
        <v>#VALUE!</v>
      </c>
      <c r="G298" s="1" t="e">
        <f t="shared" si="96"/>
        <v>#VALUE!</v>
      </c>
      <c r="H298" s="1" t="e">
        <f t="shared" si="97"/>
        <v>#VALUE!</v>
      </c>
      <c r="I298" s="1" t="e">
        <f>AVERAGE($D$2:D298)</f>
        <v>#VALUE!</v>
      </c>
      <c r="J298" s="1" t="e">
        <f t="shared" si="98"/>
        <v>#VALUE!</v>
      </c>
      <c r="K298" s="4" t="e" cm="1">
        <f t="array" ref="K298">_xlfn.IFS(J298&gt;60, J298-60, J298&lt;60, J298, J298=60, 0)</f>
        <v>#VALUE!</v>
      </c>
      <c r="L298" s="1" t="e">
        <f t="shared" si="99"/>
        <v>#VALUE!</v>
      </c>
      <c r="M298" s="3" t="e">
        <f t="shared" si="100"/>
        <v>#VALUE!</v>
      </c>
      <c r="N298" s="1" t="e">
        <f t="shared" si="101"/>
        <v>#VALUE!</v>
      </c>
      <c r="O298" s="2" t="str">
        <f t="shared" si="102"/>
        <v/>
      </c>
      <c r="P298" s="1" t="str">
        <f t="shared" si="95"/>
        <v/>
      </c>
      <c r="Q298" s="47" t="str">
        <f>IF(COUNTA(C298)=1,(Table1[[#This Row],[min]]+(Table1[[#This Row],[sec]]/60))/1440, "")</f>
        <v/>
      </c>
    </row>
    <row r="299" spans="1:17" x14ac:dyDescent="0.25">
      <c r="A299" s="1">
        <v>298</v>
      </c>
      <c r="B299" s="6"/>
      <c r="D299" s="1" t="e">
        <f t="shared" si="103"/>
        <v>#VALUE!</v>
      </c>
      <c r="E299" s="1" t="e">
        <f t="shared" si="104"/>
        <v>#VALUE!</v>
      </c>
      <c r="F299" s="1" t="e">
        <f>AVERAGE($E$2:E299)</f>
        <v>#VALUE!</v>
      </c>
      <c r="G299" s="1" t="e">
        <f t="shared" si="96"/>
        <v>#VALUE!</v>
      </c>
      <c r="H299" s="1" t="e">
        <f t="shared" si="97"/>
        <v>#VALUE!</v>
      </c>
      <c r="I299" s="1" t="e">
        <f>AVERAGE($D$2:D299)</f>
        <v>#VALUE!</v>
      </c>
      <c r="J299" s="1" t="e">
        <f t="shared" si="98"/>
        <v>#VALUE!</v>
      </c>
      <c r="K299" s="4" t="e" cm="1">
        <f t="array" ref="K299">_xlfn.IFS(J299&gt;60, J299-60, J299&lt;60, J299, J299=60, 0)</f>
        <v>#VALUE!</v>
      </c>
      <c r="L299" s="1" t="e">
        <f t="shared" si="99"/>
        <v>#VALUE!</v>
      </c>
      <c r="M299" s="3" t="e">
        <f t="shared" si="100"/>
        <v>#VALUE!</v>
      </c>
      <c r="N299" s="1" t="e">
        <f t="shared" si="101"/>
        <v>#VALUE!</v>
      </c>
      <c r="O299" s="2" t="str">
        <f t="shared" si="102"/>
        <v/>
      </c>
      <c r="P299" s="1" t="str">
        <f t="shared" si="95"/>
        <v/>
      </c>
      <c r="Q299" s="47" t="str">
        <f>IF(COUNTA(C299)=1,(Table1[[#This Row],[min]]+(Table1[[#This Row],[sec]]/60))/1440, "")</f>
        <v/>
      </c>
    </row>
    <row r="300" spans="1:17" x14ac:dyDescent="0.25">
      <c r="A300" s="1">
        <v>299</v>
      </c>
      <c r="B300" s="6"/>
      <c r="D300" s="1" t="e">
        <f t="shared" si="103"/>
        <v>#VALUE!</v>
      </c>
      <c r="E300" s="1" t="e">
        <f t="shared" si="104"/>
        <v>#VALUE!</v>
      </c>
      <c r="F300" s="1" t="e">
        <f>AVERAGE($E$2:E300)</f>
        <v>#VALUE!</v>
      </c>
      <c r="G300" s="1" t="e">
        <f t="shared" si="96"/>
        <v>#VALUE!</v>
      </c>
      <c r="H300" s="1" t="e">
        <f t="shared" si="97"/>
        <v>#VALUE!</v>
      </c>
      <c r="I300" s="1" t="e">
        <f>AVERAGE($D$2:D300)</f>
        <v>#VALUE!</v>
      </c>
      <c r="J300" s="1" t="e">
        <f t="shared" si="98"/>
        <v>#VALUE!</v>
      </c>
      <c r="K300" s="4" t="e" cm="1">
        <f t="array" ref="K300">_xlfn.IFS(J300&gt;60, J300-60, J300&lt;60, J300, J300=60, 0)</f>
        <v>#VALUE!</v>
      </c>
      <c r="L300" s="1" t="e">
        <f t="shared" si="99"/>
        <v>#VALUE!</v>
      </c>
      <c r="M300" s="3" t="e">
        <f t="shared" si="100"/>
        <v>#VALUE!</v>
      </c>
      <c r="N300" s="1" t="e">
        <f t="shared" si="101"/>
        <v>#VALUE!</v>
      </c>
      <c r="O300" s="2" t="str">
        <f t="shared" si="102"/>
        <v/>
      </c>
      <c r="P300" s="1" t="str">
        <f t="shared" si="95"/>
        <v/>
      </c>
      <c r="Q300" s="47" t="str">
        <f>IF(COUNTA(C300)=1,(Table1[[#This Row],[min]]+(Table1[[#This Row],[sec]]/60))/1440, "")</f>
        <v/>
      </c>
    </row>
    <row r="301" spans="1:17" x14ac:dyDescent="0.25">
      <c r="A301" s="1">
        <v>300</v>
      </c>
      <c r="B301" s="6"/>
      <c r="D301" s="1" t="e">
        <f t="shared" si="103"/>
        <v>#VALUE!</v>
      </c>
      <c r="E301" s="1" t="e">
        <f t="shared" si="104"/>
        <v>#VALUE!</v>
      </c>
      <c r="F301" s="1" t="e">
        <f>AVERAGE($E$2:E301)</f>
        <v>#VALUE!</v>
      </c>
      <c r="G301" s="1" t="e">
        <f t="shared" si="96"/>
        <v>#VALUE!</v>
      </c>
      <c r="H301" s="1" t="e">
        <f t="shared" si="97"/>
        <v>#VALUE!</v>
      </c>
      <c r="I301" s="1" t="e">
        <f>AVERAGE($D$2:D301)</f>
        <v>#VALUE!</v>
      </c>
      <c r="J301" s="1" t="e">
        <f t="shared" si="98"/>
        <v>#VALUE!</v>
      </c>
      <c r="K301" s="4" t="e" cm="1">
        <f t="array" ref="K301">_xlfn.IFS(J301&gt;60, J301-60, J301&lt;60, J301, J301=60, 0)</f>
        <v>#VALUE!</v>
      </c>
      <c r="L301" s="1" t="e">
        <f t="shared" si="99"/>
        <v>#VALUE!</v>
      </c>
      <c r="M301" s="3" t="e">
        <f t="shared" si="100"/>
        <v>#VALUE!</v>
      </c>
      <c r="N301" s="1" t="e">
        <f t="shared" si="101"/>
        <v>#VALUE!</v>
      </c>
      <c r="O301" s="2" t="str">
        <f t="shared" si="102"/>
        <v/>
      </c>
      <c r="P301" s="1" t="str">
        <f t="shared" si="95"/>
        <v/>
      </c>
      <c r="Q301" s="47" t="str">
        <f>IF(COUNTA(C301)=1,(Table1[[#This Row],[min]]+(Table1[[#This Row],[sec]]/60))/1440, "")</f>
        <v/>
      </c>
    </row>
    <row r="302" spans="1:17" x14ac:dyDescent="0.25">
      <c r="A302" s="1">
        <v>301</v>
      </c>
      <c r="B302" s="6"/>
      <c r="D302" s="1" t="e">
        <f t="shared" si="103"/>
        <v>#VALUE!</v>
      </c>
      <c r="E302" s="1" t="e">
        <f t="shared" si="104"/>
        <v>#VALUE!</v>
      </c>
      <c r="F302" s="1" t="e">
        <f>AVERAGE($E$2:E302)</f>
        <v>#VALUE!</v>
      </c>
      <c r="G302" s="1" t="e">
        <f t="shared" si="96"/>
        <v>#VALUE!</v>
      </c>
      <c r="H302" s="1" t="e">
        <f t="shared" si="97"/>
        <v>#VALUE!</v>
      </c>
      <c r="I302" s="1" t="e">
        <f>AVERAGE($D$2:D302)</f>
        <v>#VALUE!</v>
      </c>
      <c r="J302" s="1" t="e">
        <f t="shared" si="98"/>
        <v>#VALUE!</v>
      </c>
      <c r="K302" s="4" t="e" cm="1">
        <f t="array" ref="K302">_xlfn.IFS(J302&gt;60, J302-60, J302&lt;60, J302, J302=60, 0)</f>
        <v>#VALUE!</v>
      </c>
      <c r="L302" s="1" t="e">
        <f t="shared" si="99"/>
        <v>#VALUE!</v>
      </c>
      <c r="M302" s="3" t="e">
        <f t="shared" si="100"/>
        <v>#VALUE!</v>
      </c>
      <c r="N302" s="1" t="e">
        <f t="shared" si="101"/>
        <v>#VALUE!</v>
      </c>
      <c r="O302" s="2" t="str">
        <f t="shared" si="102"/>
        <v/>
      </c>
      <c r="P302" s="1" t="str">
        <f t="shared" si="95"/>
        <v/>
      </c>
      <c r="Q302" s="47" t="str">
        <f>IF(COUNTA(C302)=1,(Table1[[#This Row],[min]]+(Table1[[#This Row],[sec]]/60))/1440, "")</f>
        <v/>
      </c>
    </row>
    <row r="303" spans="1:17" x14ac:dyDescent="0.25">
      <c r="A303" s="1">
        <v>302</v>
      </c>
      <c r="B303" s="6"/>
      <c r="D303" s="1" t="e">
        <f t="shared" si="103"/>
        <v>#VALUE!</v>
      </c>
      <c r="E303" s="1" t="e">
        <f t="shared" si="104"/>
        <v>#VALUE!</v>
      </c>
      <c r="F303" s="1" t="e">
        <f>AVERAGE($E$2:E303)</f>
        <v>#VALUE!</v>
      </c>
      <c r="G303" s="1" t="e">
        <f t="shared" si="96"/>
        <v>#VALUE!</v>
      </c>
      <c r="H303" s="1" t="e">
        <f t="shared" si="97"/>
        <v>#VALUE!</v>
      </c>
      <c r="I303" s="1" t="e">
        <f>AVERAGE($D$2:D303)</f>
        <v>#VALUE!</v>
      </c>
      <c r="J303" s="1" t="e">
        <f t="shared" si="98"/>
        <v>#VALUE!</v>
      </c>
      <c r="K303" s="4" t="e" cm="1">
        <f t="array" ref="K303">_xlfn.IFS(J303&gt;60, J303-60, J303&lt;60, J303, J303=60, 0)</f>
        <v>#VALUE!</v>
      </c>
      <c r="L303" s="1" t="e">
        <f t="shared" si="99"/>
        <v>#VALUE!</v>
      </c>
      <c r="M303" s="3" t="e">
        <f t="shared" si="100"/>
        <v>#VALUE!</v>
      </c>
      <c r="N303" s="1" t="e">
        <f t="shared" si="101"/>
        <v>#VALUE!</v>
      </c>
      <c r="O303" s="2" t="str">
        <f t="shared" si="102"/>
        <v/>
      </c>
      <c r="P303" s="1" t="str">
        <f t="shared" si="95"/>
        <v/>
      </c>
      <c r="Q303" s="47" t="str">
        <f>IF(COUNTA(C303)=1,(Table1[[#This Row],[min]]+(Table1[[#This Row],[sec]]/60))/1440, "")</f>
        <v/>
      </c>
    </row>
    <row r="304" spans="1:17" x14ac:dyDescent="0.25">
      <c r="A304" s="1">
        <v>303</v>
      </c>
      <c r="B304" s="6"/>
      <c r="D304" s="1" t="e">
        <f t="shared" si="103"/>
        <v>#VALUE!</v>
      </c>
      <c r="E304" s="1" t="e">
        <f t="shared" si="104"/>
        <v>#VALUE!</v>
      </c>
      <c r="F304" s="1" t="e">
        <f>AVERAGE($E$2:E304)</f>
        <v>#VALUE!</v>
      </c>
      <c r="G304" s="1" t="e">
        <f t="shared" si="96"/>
        <v>#VALUE!</v>
      </c>
      <c r="H304" s="1" t="e">
        <f t="shared" si="97"/>
        <v>#VALUE!</v>
      </c>
      <c r="I304" s="1" t="e">
        <f>AVERAGE($D$2:D304)</f>
        <v>#VALUE!</v>
      </c>
      <c r="J304" s="1" t="e">
        <f t="shared" si="98"/>
        <v>#VALUE!</v>
      </c>
      <c r="K304" s="4" t="e" cm="1">
        <f t="array" ref="K304">_xlfn.IFS(J304&gt;60, J304-60, J304&lt;60, J304, J304=60, 0)</f>
        <v>#VALUE!</v>
      </c>
      <c r="L304" s="1" t="e">
        <f t="shared" si="99"/>
        <v>#VALUE!</v>
      </c>
      <c r="M304" s="3" t="e">
        <f t="shared" si="100"/>
        <v>#VALUE!</v>
      </c>
      <c r="N304" s="1" t="e">
        <f t="shared" si="101"/>
        <v>#VALUE!</v>
      </c>
      <c r="O304" s="2" t="str">
        <f t="shared" si="102"/>
        <v/>
      </c>
      <c r="P304" s="1" t="str">
        <f t="shared" si="95"/>
        <v/>
      </c>
      <c r="Q304" s="47" t="str">
        <f>IF(COUNTA(C304)=1,(Table1[[#This Row],[min]]+(Table1[[#This Row],[sec]]/60))/1440, "")</f>
        <v/>
      </c>
    </row>
    <row r="305" spans="1:17" x14ac:dyDescent="0.25">
      <c r="A305" s="1">
        <v>304</v>
      </c>
      <c r="B305" s="6"/>
      <c r="D305" s="1" t="e">
        <f t="shared" si="103"/>
        <v>#VALUE!</v>
      </c>
      <c r="E305" s="1" t="e">
        <f t="shared" si="104"/>
        <v>#VALUE!</v>
      </c>
      <c r="F305" s="1" t="e">
        <f>AVERAGE($E$2:E305)</f>
        <v>#VALUE!</v>
      </c>
      <c r="G305" s="1" t="e">
        <f t="shared" si="96"/>
        <v>#VALUE!</v>
      </c>
      <c r="H305" s="1" t="e">
        <f t="shared" si="97"/>
        <v>#VALUE!</v>
      </c>
      <c r="I305" s="1" t="e">
        <f>AVERAGE($D$2:D305)</f>
        <v>#VALUE!</v>
      </c>
      <c r="J305" s="1" t="e">
        <f t="shared" si="98"/>
        <v>#VALUE!</v>
      </c>
      <c r="K305" s="4" t="e" cm="1">
        <f t="array" ref="K305">_xlfn.IFS(J305&gt;60, J305-60, J305&lt;60, J305, J305=60, 0)</f>
        <v>#VALUE!</v>
      </c>
      <c r="L305" s="1" t="e">
        <f t="shared" si="99"/>
        <v>#VALUE!</v>
      </c>
      <c r="M305" s="3" t="e">
        <f t="shared" si="100"/>
        <v>#VALUE!</v>
      </c>
      <c r="N305" s="1" t="e">
        <f t="shared" si="101"/>
        <v>#VALUE!</v>
      </c>
      <c r="O305" s="2" t="str">
        <f t="shared" si="102"/>
        <v/>
      </c>
      <c r="P305" s="1" t="str">
        <f t="shared" si="95"/>
        <v/>
      </c>
      <c r="Q305" s="47" t="str">
        <f>IF(COUNTA(C305)=1,(Table1[[#This Row],[min]]+(Table1[[#This Row],[sec]]/60))/1440, "")</f>
        <v/>
      </c>
    </row>
    <row r="306" spans="1:17" x14ac:dyDescent="0.25">
      <c r="A306" s="1">
        <v>305</v>
      </c>
      <c r="B306" s="6"/>
      <c r="D306" s="1" t="e">
        <f t="shared" si="103"/>
        <v>#VALUE!</v>
      </c>
      <c r="E306" s="1" t="e">
        <f t="shared" si="104"/>
        <v>#VALUE!</v>
      </c>
      <c r="F306" s="1" t="e">
        <f>AVERAGE($E$2:E306)</f>
        <v>#VALUE!</v>
      </c>
      <c r="G306" s="1" t="e">
        <f t="shared" si="96"/>
        <v>#VALUE!</v>
      </c>
      <c r="H306" s="1" t="e">
        <f t="shared" si="97"/>
        <v>#VALUE!</v>
      </c>
      <c r="I306" s="1" t="e">
        <f>AVERAGE($D$2:D306)</f>
        <v>#VALUE!</v>
      </c>
      <c r="J306" s="1" t="e">
        <f t="shared" si="98"/>
        <v>#VALUE!</v>
      </c>
      <c r="K306" s="4" t="e" cm="1">
        <f t="array" ref="K306">_xlfn.IFS(J306&gt;60, J306-60, J306&lt;60, J306, J306=60, 0)</f>
        <v>#VALUE!</v>
      </c>
      <c r="L306" s="1" t="e">
        <f t="shared" si="99"/>
        <v>#VALUE!</v>
      </c>
      <c r="M306" s="3" t="e">
        <f t="shared" si="100"/>
        <v>#VALUE!</v>
      </c>
      <c r="N306" s="1" t="e">
        <f t="shared" si="101"/>
        <v>#VALUE!</v>
      </c>
      <c r="O306" s="2" t="str">
        <f t="shared" si="102"/>
        <v/>
      </c>
      <c r="P306" s="1" t="str">
        <f t="shared" si="95"/>
        <v/>
      </c>
      <c r="Q306" s="47" t="str">
        <f>IF(COUNTA(C306)=1,(Table1[[#This Row],[min]]+(Table1[[#This Row],[sec]]/60))/1440, "")</f>
        <v/>
      </c>
    </row>
    <row r="307" spans="1:17" x14ac:dyDescent="0.25">
      <c r="A307" s="1">
        <v>306</v>
      </c>
      <c r="B307" s="6"/>
      <c r="D307" s="1" t="e">
        <f t="shared" si="103"/>
        <v>#VALUE!</v>
      </c>
      <c r="E307" s="1" t="e">
        <f t="shared" si="104"/>
        <v>#VALUE!</v>
      </c>
      <c r="F307" s="1" t="e">
        <f>AVERAGE($E$2:E307)</f>
        <v>#VALUE!</v>
      </c>
      <c r="G307" s="1" t="e">
        <f t="shared" si="96"/>
        <v>#VALUE!</v>
      </c>
      <c r="H307" s="1" t="e">
        <f t="shared" si="97"/>
        <v>#VALUE!</v>
      </c>
      <c r="I307" s="1" t="e">
        <f>AVERAGE($D$2:D307)</f>
        <v>#VALUE!</v>
      </c>
      <c r="J307" s="1" t="e">
        <f t="shared" si="98"/>
        <v>#VALUE!</v>
      </c>
      <c r="K307" s="4" t="e" cm="1">
        <f t="array" ref="K307">_xlfn.IFS(J307&gt;60, J307-60, J307&lt;60, J307, J307=60, 0)</f>
        <v>#VALUE!</v>
      </c>
      <c r="L307" s="1" t="e">
        <f t="shared" si="99"/>
        <v>#VALUE!</v>
      </c>
      <c r="M307" s="3" t="e">
        <f t="shared" si="100"/>
        <v>#VALUE!</v>
      </c>
      <c r="N307" s="1" t="e">
        <f t="shared" si="101"/>
        <v>#VALUE!</v>
      </c>
      <c r="O307" s="2" t="str">
        <f t="shared" si="102"/>
        <v/>
      </c>
      <c r="P307" s="1" t="str">
        <f t="shared" si="95"/>
        <v/>
      </c>
      <c r="Q307" s="47" t="str">
        <f>IF(COUNTA(C307)=1,(Table1[[#This Row],[min]]+(Table1[[#This Row],[sec]]/60))/1440, "")</f>
        <v/>
      </c>
    </row>
    <row r="308" spans="1:17" x14ac:dyDescent="0.25">
      <c r="A308" s="1">
        <v>307</v>
      </c>
      <c r="B308" s="6"/>
      <c r="D308" s="1" t="e">
        <f t="shared" si="103"/>
        <v>#VALUE!</v>
      </c>
      <c r="E308" s="1" t="e">
        <f t="shared" si="104"/>
        <v>#VALUE!</v>
      </c>
      <c r="F308" s="1" t="e">
        <f>AVERAGE($E$2:E308)</f>
        <v>#VALUE!</v>
      </c>
      <c r="G308" s="1" t="e">
        <f t="shared" si="96"/>
        <v>#VALUE!</v>
      </c>
      <c r="H308" s="1" t="e">
        <f t="shared" si="97"/>
        <v>#VALUE!</v>
      </c>
      <c r="I308" s="1" t="e">
        <f>AVERAGE($D$2:D308)</f>
        <v>#VALUE!</v>
      </c>
      <c r="J308" s="1" t="e">
        <f t="shared" si="98"/>
        <v>#VALUE!</v>
      </c>
      <c r="K308" s="4" t="e" cm="1">
        <f t="array" ref="K308">_xlfn.IFS(J308&gt;60, J308-60, J308&lt;60, J308, J308=60, 0)</f>
        <v>#VALUE!</v>
      </c>
      <c r="L308" s="1" t="e">
        <f t="shared" si="99"/>
        <v>#VALUE!</v>
      </c>
      <c r="M308" s="3" t="e">
        <f t="shared" si="100"/>
        <v>#VALUE!</v>
      </c>
      <c r="N308" s="1" t="e">
        <f t="shared" si="101"/>
        <v>#VALUE!</v>
      </c>
      <c r="O308" s="2" t="str">
        <f t="shared" si="102"/>
        <v/>
      </c>
      <c r="P308" s="1" t="str">
        <f t="shared" si="95"/>
        <v/>
      </c>
      <c r="Q308" s="47" t="str">
        <f>IF(COUNTA(C308)=1,(Table1[[#This Row],[min]]+(Table1[[#This Row],[sec]]/60))/1440, "")</f>
        <v/>
      </c>
    </row>
    <row r="309" spans="1:17" x14ac:dyDescent="0.25">
      <c r="A309" s="1">
        <v>308</v>
      </c>
      <c r="B309" s="6"/>
      <c r="D309" s="1" t="e">
        <f t="shared" si="103"/>
        <v>#VALUE!</v>
      </c>
      <c r="E309" s="1" t="e">
        <f t="shared" si="104"/>
        <v>#VALUE!</v>
      </c>
      <c r="F309" s="1" t="e">
        <f>AVERAGE($E$2:E309)</f>
        <v>#VALUE!</v>
      </c>
      <c r="G309" s="1" t="e">
        <f t="shared" si="96"/>
        <v>#VALUE!</v>
      </c>
      <c r="H309" s="1" t="e">
        <f t="shared" si="97"/>
        <v>#VALUE!</v>
      </c>
      <c r="I309" s="1" t="e">
        <f>AVERAGE($D$2:D309)</f>
        <v>#VALUE!</v>
      </c>
      <c r="J309" s="1" t="e">
        <f t="shared" si="98"/>
        <v>#VALUE!</v>
      </c>
      <c r="K309" s="4" t="e" cm="1">
        <f t="array" ref="K309">_xlfn.IFS(J309&gt;60, J309-60, J309&lt;60, J309, J309=60, 0)</f>
        <v>#VALUE!</v>
      </c>
      <c r="L309" s="1" t="e">
        <f t="shared" si="99"/>
        <v>#VALUE!</v>
      </c>
      <c r="M309" s="3" t="e">
        <f t="shared" si="100"/>
        <v>#VALUE!</v>
      </c>
      <c r="N309" s="1" t="e">
        <f t="shared" si="101"/>
        <v>#VALUE!</v>
      </c>
      <c r="O309" s="2" t="str">
        <f t="shared" si="102"/>
        <v/>
      </c>
      <c r="P309" s="1" t="str">
        <f t="shared" si="95"/>
        <v/>
      </c>
      <c r="Q309" s="47" t="str">
        <f>IF(COUNTA(C309)=1,(Table1[[#This Row],[min]]+(Table1[[#This Row],[sec]]/60))/1440, "")</f>
        <v/>
      </c>
    </row>
    <row r="310" spans="1:17" x14ac:dyDescent="0.25">
      <c r="A310" s="1">
        <v>309</v>
      </c>
      <c r="B310" s="6"/>
      <c r="D310" s="1" t="e">
        <f t="shared" si="103"/>
        <v>#VALUE!</v>
      </c>
      <c r="E310" s="1" t="e">
        <f t="shared" si="104"/>
        <v>#VALUE!</v>
      </c>
      <c r="F310" s="1" t="e">
        <f>AVERAGE($E$2:E310)</f>
        <v>#VALUE!</v>
      </c>
      <c r="G310" s="1" t="e">
        <f t="shared" si="96"/>
        <v>#VALUE!</v>
      </c>
      <c r="H310" s="1" t="e">
        <f t="shared" si="97"/>
        <v>#VALUE!</v>
      </c>
      <c r="I310" s="1" t="e">
        <f>AVERAGE($D$2:D310)</f>
        <v>#VALUE!</v>
      </c>
      <c r="J310" s="1" t="e">
        <f t="shared" si="98"/>
        <v>#VALUE!</v>
      </c>
      <c r="K310" s="4" t="e" cm="1">
        <f t="array" ref="K310">_xlfn.IFS(J310&gt;60, J310-60, J310&lt;60, J310, J310=60, 0)</f>
        <v>#VALUE!</v>
      </c>
      <c r="L310" s="1" t="e">
        <f t="shared" si="99"/>
        <v>#VALUE!</v>
      </c>
      <c r="M310" s="3" t="e">
        <f t="shared" si="100"/>
        <v>#VALUE!</v>
      </c>
      <c r="N310" s="1" t="e">
        <f t="shared" si="101"/>
        <v>#VALUE!</v>
      </c>
      <c r="O310" s="2" t="str">
        <f t="shared" si="102"/>
        <v/>
      </c>
      <c r="P310" s="1" t="str">
        <f t="shared" si="95"/>
        <v/>
      </c>
      <c r="Q310" s="47" t="str">
        <f>IF(COUNTA(C310)=1,(Table1[[#This Row],[min]]+(Table1[[#This Row],[sec]]/60))/1440, "")</f>
        <v/>
      </c>
    </row>
    <row r="311" spans="1:17" x14ac:dyDescent="0.25">
      <c r="A311" s="1">
        <v>310</v>
      </c>
      <c r="B311" s="6"/>
      <c r="D311" s="1" t="e">
        <f t="shared" si="103"/>
        <v>#VALUE!</v>
      </c>
      <c r="E311" s="1" t="e">
        <f t="shared" si="104"/>
        <v>#VALUE!</v>
      </c>
      <c r="F311" s="1" t="e">
        <f>AVERAGE($E$2:E311)</f>
        <v>#VALUE!</v>
      </c>
      <c r="G311" s="1" t="e">
        <f t="shared" si="96"/>
        <v>#VALUE!</v>
      </c>
      <c r="H311" s="1" t="e">
        <f t="shared" si="97"/>
        <v>#VALUE!</v>
      </c>
      <c r="I311" s="1" t="e">
        <f>AVERAGE($D$2:D311)</f>
        <v>#VALUE!</v>
      </c>
      <c r="J311" s="1" t="e">
        <f t="shared" si="98"/>
        <v>#VALUE!</v>
      </c>
      <c r="K311" s="4" t="e" cm="1">
        <f t="array" ref="K311">_xlfn.IFS(J311&gt;60, J311-60, J311&lt;60, J311, J311=60, 0)</f>
        <v>#VALUE!</v>
      </c>
      <c r="L311" s="1" t="e">
        <f t="shared" si="99"/>
        <v>#VALUE!</v>
      </c>
      <c r="M311" s="3" t="e">
        <f t="shared" si="100"/>
        <v>#VALUE!</v>
      </c>
      <c r="N311" s="1" t="e">
        <f t="shared" si="101"/>
        <v>#VALUE!</v>
      </c>
      <c r="O311" s="2" t="str">
        <f t="shared" si="102"/>
        <v/>
      </c>
      <c r="P311" s="1" t="str">
        <f t="shared" si="95"/>
        <v/>
      </c>
      <c r="Q311" s="47" t="str">
        <f>IF(COUNTA(C311)=1,(Table1[[#This Row],[min]]+(Table1[[#This Row],[sec]]/60))/1440, "")</f>
        <v/>
      </c>
    </row>
    <row r="312" spans="1:17" x14ac:dyDescent="0.25">
      <c r="A312" s="1">
        <v>311</v>
      </c>
      <c r="B312" s="6"/>
      <c r="D312" s="1" t="e">
        <f t="shared" si="103"/>
        <v>#VALUE!</v>
      </c>
      <c r="E312" s="1" t="e">
        <f t="shared" si="104"/>
        <v>#VALUE!</v>
      </c>
      <c r="F312" s="1" t="e">
        <f>AVERAGE($E$2:E312)</f>
        <v>#VALUE!</v>
      </c>
      <c r="G312" s="1" t="e">
        <f t="shared" si="96"/>
        <v>#VALUE!</v>
      </c>
      <c r="H312" s="1" t="e">
        <f t="shared" si="97"/>
        <v>#VALUE!</v>
      </c>
      <c r="I312" s="1" t="e">
        <f>AVERAGE($D$2:D312)</f>
        <v>#VALUE!</v>
      </c>
      <c r="J312" s="1" t="e">
        <f t="shared" si="98"/>
        <v>#VALUE!</v>
      </c>
      <c r="K312" s="4" t="e" cm="1">
        <f t="array" ref="K312">_xlfn.IFS(J312&gt;60, J312-60, J312&lt;60, J312, J312=60, 0)</f>
        <v>#VALUE!</v>
      </c>
      <c r="L312" s="1" t="e">
        <f t="shared" si="99"/>
        <v>#VALUE!</v>
      </c>
      <c r="M312" s="3" t="e">
        <f t="shared" si="100"/>
        <v>#VALUE!</v>
      </c>
      <c r="N312" s="1" t="e">
        <f t="shared" si="101"/>
        <v>#VALUE!</v>
      </c>
      <c r="O312" s="2" t="str">
        <f t="shared" si="102"/>
        <v/>
      </c>
      <c r="P312" s="1" t="str">
        <f t="shared" si="95"/>
        <v/>
      </c>
      <c r="Q312" s="47" t="str">
        <f>IF(COUNTA(C312)=1,(Table1[[#This Row],[min]]+(Table1[[#This Row],[sec]]/60))/1440, "")</f>
        <v/>
      </c>
    </row>
    <row r="313" spans="1:17" x14ac:dyDescent="0.25">
      <c r="A313" s="1">
        <v>312</v>
      </c>
      <c r="B313" s="6"/>
      <c r="D313" s="1" t="e">
        <f t="shared" si="103"/>
        <v>#VALUE!</v>
      </c>
      <c r="E313" s="1" t="e">
        <f t="shared" si="104"/>
        <v>#VALUE!</v>
      </c>
      <c r="F313" s="1" t="e">
        <f>AVERAGE($E$2:E313)</f>
        <v>#VALUE!</v>
      </c>
      <c r="G313" s="1" t="e">
        <f t="shared" si="96"/>
        <v>#VALUE!</v>
      </c>
      <c r="H313" s="1" t="e">
        <f t="shared" si="97"/>
        <v>#VALUE!</v>
      </c>
      <c r="I313" s="1" t="e">
        <f>AVERAGE($D$2:D313)</f>
        <v>#VALUE!</v>
      </c>
      <c r="J313" s="1" t="e">
        <f t="shared" si="98"/>
        <v>#VALUE!</v>
      </c>
      <c r="K313" s="4" t="e" cm="1">
        <f t="array" ref="K313">_xlfn.IFS(J313&gt;60, J313-60, J313&lt;60, J313, J313=60, 0)</f>
        <v>#VALUE!</v>
      </c>
      <c r="L313" s="1" t="e">
        <f t="shared" si="99"/>
        <v>#VALUE!</v>
      </c>
      <c r="M313" s="3" t="e">
        <f t="shared" si="100"/>
        <v>#VALUE!</v>
      </c>
      <c r="N313" s="1" t="e">
        <f t="shared" si="101"/>
        <v>#VALUE!</v>
      </c>
      <c r="O313" s="2" t="str">
        <f t="shared" si="102"/>
        <v/>
      </c>
      <c r="P313" s="1" t="str">
        <f t="shared" si="95"/>
        <v/>
      </c>
      <c r="Q313" s="47" t="str">
        <f>IF(COUNTA(C313)=1,(Table1[[#This Row],[min]]+(Table1[[#This Row],[sec]]/60))/1440, "")</f>
        <v/>
      </c>
    </row>
    <row r="314" spans="1:17" x14ac:dyDescent="0.25">
      <c r="A314" s="1">
        <v>313</v>
      </c>
      <c r="B314" s="6"/>
      <c r="D314" s="1" t="e">
        <f t="shared" si="103"/>
        <v>#VALUE!</v>
      </c>
      <c r="E314" s="1" t="e">
        <f t="shared" si="104"/>
        <v>#VALUE!</v>
      </c>
      <c r="F314" s="1" t="e">
        <f>AVERAGE($E$2:E314)</f>
        <v>#VALUE!</v>
      </c>
      <c r="G314" s="1" t="e">
        <f t="shared" si="96"/>
        <v>#VALUE!</v>
      </c>
      <c r="H314" s="1" t="e">
        <f t="shared" si="97"/>
        <v>#VALUE!</v>
      </c>
      <c r="I314" s="1" t="e">
        <f>AVERAGE($D$2:D314)</f>
        <v>#VALUE!</v>
      </c>
      <c r="J314" s="1" t="e">
        <f t="shared" si="98"/>
        <v>#VALUE!</v>
      </c>
      <c r="K314" s="4" t="e" cm="1">
        <f t="array" ref="K314">_xlfn.IFS(J314&gt;60, J314-60, J314&lt;60, J314, J314=60, 0)</f>
        <v>#VALUE!</v>
      </c>
      <c r="L314" s="1" t="e">
        <f t="shared" si="99"/>
        <v>#VALUE!</v>
      </c>
      <c r="M314" s="3" t="e">
        <f t="shared" si="100"/>
        <v>#VALUE!</v>
      </c>
      <c r="N314" s="1" t="e">
        <f t="shared" si="101"/>
        <v>#VALUE!</v>
      </c>
      <c r="O314" s="2" t="str">
        <f t="shared" si="102"/>
        <v/>
      </c>
      <c r="P314" s="1" t="str">
        <f t="shared" si="95"/>
        <v/>
      </c>
      <c r="Q314" s="47" t="str">
        <f>IF(COUNTA(C314)=1,(Table1[[#This Row],[min]]+(Table1[[#This Row],[sec]]/60))/1440, "")</f>
        <v/>
      </c>
    </row>
    <row r="315" spans="1:17" x14ac:dyDescent="0.25">
      <c r="A315" s="1">
        <v>314</v>
      </c>
      <c r="B315" s="6"/>
      <c r="D315" s="1" t="e">
        <f t="shared" si="103"/>
        <v>#VALUE!</v>
      </c>
      <c r="E315" s="1" t="e">
        <f t="shared" si="104"/>
        <v>#VALUE!</v>
      </c>
      <c r="F315" s="1" t="e">
        <f>AVERAGE($E$2:E315)</f>
        <v>#VALUE!</v>
      </c>
      <c r="G315" s="1" t="e">
        <f t="shared" si="96"/>
        <v>#VALUE!</v>
      </c>
      <c r="H315" s="1" t="e">
        <f t="shared" si="97"/>
        <v>#VALUE!</v>
      </c>
      <c r="I315" s="1" t="e">
        <f>AVERAGE($D$2:D315)</f>
        <v>#VALUE!</v>
      </c>
      <c r="J315" s="1" t="e">
        <f t="shared" si="98"/>
        <v>#VALUE!</v>
      </c>
      <c r="K315" s="4" t="e" cm="1">
        <f t="array" ref="K315">_xlfn.IFS(J315&gt;60, J315-60, J315&lt;60, J315, J315=60, 0)</f>
        <v>#VALUE!</v>
      </c>
      <c r="L315" s="1" t="e">
        <f t="shared" si="99"/>
        <v>#VALUE!</v>
      </c>
      <c r="M315" s="3" t="e">
        <f t="shared" si="100"/>
        <v>#VALUE!</v>
      </c>
      <c r="N315" s="1" t="e">
        <f t="shared" si="101"/>
        <v>#VALUE!</v>
      </c>
      <c r="O315" s="2" t="str">
        <f t="shared" si="102"/>
        <v/>
      </c>
      <c r="P315" s="1" t="str">
        <f t="shared" si="95"/>
        <v/>
      </c>
      <c r="Q315" s="47" t="str">
        <f>IF(COUNTA(C315)=1,(Table1[[#This Row],[min]]+(Table1[[#This Row],[sec]]/60))/1440, "")</f>
        <v/>
      </c>
    </row>
    <row r="316" spans="1:17" x14ac:dyDescent="0.25">
      <c r="A316" s="1">
        <v>315</v>
      </c>
      <c r="B316" s="6"/>
      <c r="D316" s="1" t="e">
        <f t="shared" si="103"/>
        <v>#VALUE!</v>
      </c>
      <c r="E316" s="1" t="e">
        <f t="shared" si="104"/>
        <v>#VALUE!</v>
      </c>
      <c r="F316" s="1" t="e">
        <f>AVERAGE($E$2:E316)</f>
        <v>#VALUE!</v>
      </c>
      <c r="G316" s="1" t="e">
        <f t="shared" si="96"/>
        <v>#VALUE!</v>
      </c>
      <c r="H316" s="1" t="e">
        <f t="shared" si="97"/>
        <v>#VALUE!</v>
      </c>
      <c r="I316" s="1" t="e">
        <f>AVERAGE($D$2:D316)</f>
        <v>#VALUE!</v>
      </c>
      <c r="J316" s="1" t="e">
        <f t="shared" si="98"/>
        <v>#VALUE!</v>
      </c>
      <c r="K316" s="4" t="e" cm="1">
        <f t="array" ref="K316">_xlfn.IFS(J316&gt;60, J316-60, J316&lt;60, J316, J316=60, 0)</f>
        <v>#VALUE!</v>
      </c>
      <c r="L316" s="1" t="e">
        <f t="shared" si="99"/>
        <v>#VALUE!</v>
      </c>
      <c r="M316" s="3" t="e">
        <f t="shared" si="100"/>
        <v>#VALUE!</v>
      </c>
      <c r="N316" s="1" t="e">
        <f t="shared" si="101"/>
        <v>#VALUE!</v>
      </c>
      <c r="O316" s="2" t="str">
        <f t="shared" si="102"/>
        <v/>
      </c>
      <c r="P316" s="1" t="str">
        <f t="shared" si="95"/>
        <v/>
      </c>
      <c r="Q316" s="47" t="str">
        <f>IF(COUNTA(C316)=1,(Table1[[#This Row],[min]]+(Table1[[#This Row],[sec]]/60))/1440, "")</f>
        <v/>
      </c>
    </row>
    <row r="317" spans="1:17" x14ac:dyDescent="0.25">
      <c r="A317" s="1">
        <v>316</v>
      </c>
      <c r="B317" s="6"/>
      <c r="D317" s="1" t="e">
        <f t="shared" si="103"/>
        <v>#VALUE!</v>
      </c>
      <c r="E317" s="1" t="e">
        <f t="shared" si="104"/>
        <v>#VALUE!</v>
      </c>
      <c r="F317" s="1" t="e">
        <f>AVERAGE($E$2:E317)</f>
        <v>#VALUE!</v>
      </c>
      <c r="G317" s="1" t="e">
        <f t="shared" si="96"/>
        <v>#VALUE!</v>
      </c>
      <c r="H317" s="1" t="e">
        <f t="shared" si="97"/>
        <v>#VALUE!</v>
      </c>
      <c r="I317" s="1" t="e">
        <f>AVERAGE($D$2:D317)</f>
        <v>#VALUE!</v>
      </c>
      <c r="J317" s="1" t="e">
        <f t="shared" si="98"/>
        <v>#VALUE!</v>
      </c>
      <c r="K317" s="4" t="e" cm="1">
        <f t="array" ref="K317">_xlfn.IFS(J317&gt;60, J317-60, J317&lt;60, J317, J317=60, 0)</f>
        <v>#VALUE!</v>
      </c>
      <c r="L317" s="1" t="e">
        <f t="shared" si="99"/>
        <v>#VALUE!</v>
      </c>
      <c r="M317" s="3" t="e">
        <f t="shared" si="100"/>
        <v>#VALUE!</v>
      </c>
      <c r="N317" s="1" t="e">
        <f t="shared" si="101"/>
        <v>#VALUE!</v>
      </c>
      <c r="O317" s="2" t="str">
        <f t="shared" si="102"/>
        <v/>
      </c>
      <c r="P317" s="1" t="str">
        <f t="shared" si="95"/>
        <v/>
      </c>
      <c r="Q317" s="47" t="str">
        <f>IF(COUNTA(C317)=1,(Table1[[#This Row],[min]]+(Table1[[#This Row],[sec]]/60))/1440, "")</f>
        <v/>
      </c>
    </row>
    <row r="318" spans="1:17" x14ac:dyDescent="0.25">
      <c r="A318" s="1">
        <v>317</v>
      </c>
      <c r="B318" s="6"/>
      <c r="D318" s="1" t="e">
        <f t="shared" si="103"/>
        <v>#VALUE!</v>
      </c>
      <c r="E318" s="1" t="e">
        <f t="shared" si="104"/>
        <v>#VALUE!</v>
      </c>
      <c r="F318" s="1" t="e">
        <f>AVERAGE($E$2:E318)</f>
        <v>#VALUE!</v>
      </c>
      <c r="G318" s="1" t="e">
        <f t="shared" si="96"/>
        <v>#VALUE!</v>
      </c>
      <c r="H318" s="1" t="e">
        <f t="shared" si="97"/>
        <v>#VALUE!</v>
      </c>
      <c r="I318" s="1" t="e">
        <f>AVERAGE($D$2:D318)</f>
        <v>#VALUE!</v>
      </c>
      <c r="J318" s="1" t="e">
        <f t="shared" si="98"/>
        <v>#VALUE!</v>
      </c>
      <c r="K318" s="4" t="e" cm="1">
        <f t="array" ref="K318">_xlfn.IFS(J318&gt;60, J318-60, J318&lt;60, J318, J318=60, 0)</f>
        <v>#VALUE!</v>
      </c>
      <c r="L318" s="1" t="e">
        <f t="shared" si="99"/>
        <v>#VALUE!</v>
      </c>
      <c r="M318" s="3" t="e">
        <f t="shared" si="100"/>
        <v>#VALUE!</v>
      </c>
      <c r="N318" s="1" t="e">
        <f t="shared" si="101"/>
        <v>#VALUE!</v>
      </c>
      <c r="O318" s="2" t="str">
        <f t="shared" si="102"/>
        <v/>
      </c>
      <c r="P318" s="1" t="str">
        <f t="shared" si="95"/>
        <v/>
      </c>
      <c r="Q318" s="47" t="str">
        <f>IF(COUNTA(C318)=1,(Table1[[#This Row],[min]]+(Table1[[#This Row],[sec]]/60))/1440, "")</f>
        <v/>
      </c>
    </row>
    <row r="319" spans="1:17" x14ac:dyDescent="0.25">
      <c r="A319" s="1">
        <v>318</v>
      </c>
      <c r="B319" s="6"/>
      <c r="D319" s="1" t="e">
        <f t="shared" si="103"/>
        <v>#VALUE!</v>
      </c>
      <c r="E319" s="1" t="e">
        <f t="shared" si="104"/>
        <v>#VALUE!</v>
      </c>
      <c r="F319" s="1" t="e">
        <f>AVERAGE($E$2:E319)</f>
        <v>#VALUE!</v>
      </c>
      <c r="G319" s="1" t="e">
        <f t="shared" si="96"/>
        <v>#VALUE!</v>
      </c>
      <c r="H319" s="1" t="e">
        <f t="shared" si="97"/>
        <v>#VALUE!</v>
      </c>
      <c r="I319" s="1" t="e">
        <f>AVERAGE($D$2:D319)</f>
        <v>#VALUE!</v>
      </c>
      <c r="J319" s="1" t="e">
        <f t="shared" si="98"/>
        <v>#VALUE!</v>
      </c>
      <c r="K319" s="4" t="e" cm="1">
        <f t="array" ref="K319">_xlfn.IFS(J319&gt;60, J319-60, J319&lt;60, J319, J319=60, 0)</f>
        <v>#VALUE!</v>
      </c>
      <c r="L319" s="1" t="e">
        <f t="shared" si="99"/>
        <v>#VALUE!</v>
      </c>
      <c r="M319" s="3" t="e">
        <f t="shared" si="100"/>
        <v>#VALUE!</v>
      </c>
      <c r="N319" s="1" t="e">
        <f t="shared" si="101"/>
        <v>#VALUE!</v>
      </c>
      <c r="O319" s="2" t="str">
        <f t="shared" si="102"/>
        <v/>
      </c>
      <c r="P319" s="1" t="str">
        <f t="shared" si="95"/>
        <v/>
      </c>
      <c r="Q319" s="47" t="str">
        <f>IF(COUNTA(C319)=1,(Table1[[#This Row],[min]]+(Table1[[#This Row],[sec]]/60))/1440, "")</f>
        <v/>
      </c>
    </row>
    <row r="320" spans="1:17" x14ac:dyDescent="0.25">
      <c r="A320" s="1">
        <v>319</v>
      </c>
      <c r="B320" s="6"/>
      <c r="D320" s="1" t="e">
        <f t="shared" si="103"/>
        <v>#VALUE!</v>
      </c>
      <c r="E320" s="1" t="e">
        <f t="shared" si="104"/>
        <v>#VALUE!</v>
      </c>
      <c r="F320" s="1" t="e">
        <f>AVERAGE($E$2:E320)</f>
        <v>#VALUE!</v>
      </c>
      <c r="G320" s="1" t="e">
        <f t="shared" si="96"/>
        <v>#VALUE!</v>
      </c>
      <c r="H320" s="1" t="e">
        <f t="shared" si="97"/>
        <v>#VALUE!</v>
      </c>
      <c r="I320" s="1" t="e">
        <f>AVERAGE($D$2:D320)</f>
        <v>#VALUE!</v>
      </c>
      <c r="J320" s="1" t="e">
        <f t="shared" si="98"/>
        <v>#VALUE!</v>
      </c>
      <c r="K320" s="4" t="e" cm="1">
        <f t="array" ref="K320">_xlfn.IFS(J320&gt;60, J320-60, J320&lt;60, J320, J320=60, 0)</f>
        <v>#VALUE!</v>
      </c>
      <c r="L320" s="1" t="e">
        <f t="shared" si="99"/>
        <v>#VALUE!</v>
      </c>
      <c r="M320" s="3" t="e">
        <f t="shared" si="100"/>
        <v>#VALUE!</v>
      </c>
      <c r="N320" s="1" t="e">
        <f t="shared" si="101"/>
        <v>#VALUE!</v>
      </c>
      <c r="O320" s="2" t="str">
        <f t="shared" si="102"/>
        <v/>
      </c>
      <c r="P320" s="1" t="str">
        <f t="shared" si="95"/>
        <v/>
      </c>
      <c r="Q320" s="47" t="str">
        <f>IF(COUNTA(C320)=1,(Table1[[#This Row],[min]]+(Table1[[#This Row],[sec]]/60))/1440, "")</f>
        <v/>
      </c>
    </row>
    <row r="321" spans="1:17" x14ac:dyDescent="0.25">
      <c r="A321" s="1">
        <v>320</v>
      </c>
      <c r="B321" s="6"/>
      <c r="D321" s="1" t="e">
        <f t="shared" si="103"/>
        <v>#VALUE!</v>
      </c>
      <c r="E321" s="1" t="e">
        <f t="shared" si="104"/>
        <v>#VALUE!</v>
      </c>
      <c r="F321" s="1" t="e">
        <f>AVERAGE($E$2:E321)</f>
        <v>#VALUE!</v>
      </c>
      <c r="G321" s="1" t="e">
        <f t="shared" si="96"/>
        <v>#VALUE!</v>
      </c>
      <c r="H321" s="1" t="e">
        <f t="shared" si="97"/>
        <v>#VALUE!</v>
      </c>
      <c r="I321" s="1" t="e">
        <f>AVERAGE($D$2:D321)</f>
        <v>#VALUE!</v>
      </c>
      <c r="J321" s="1" t="e">
        <f t="shared" si="98"/>
        <v>#VALUE!</v>
      </c>
      <c r="K321" s="4" t="e" cm="1">
        <f t="array" ref="K321">_xlfn.IFS(J321&gt;60, J321-60, J321&lt;60, J321, J321=60, 0)</f>
        <v>#VALUE!</v>
      </c>
      <c r="L321" s="1" t="e">
        <f t="shared" si="99"/>
        <v>#VALUE!</v>
      </c>
      <c r="M321" s="3" t="e">
        <f t="shared" si="100"/>
        <v>#VALUE!</v>
      </c>
      <c r="N321" s="1" t="e">
        <f t="shared" si="101"/>
        <v>#VALUE!</v>
      </c>
      <c r="O321" s="2" t="str">
        <f t="shared" si="102"/>
        <v/>
      </c>
      <c r="P321" s="1" t="str">
        <f t="shared" si="95"/>
        <v/>
      </c>
      <c r="Q321" s="47" t="str">
        <f>IF(COUNTA(C321)=1,(Table1[[#This Row],[min]]+(Table1[[#This Row],[sec]]/60))/1440, "")</f>
        <v/>
      </c>
    </row>
    <row r="322" spans="1:17" x14ac:dyDescent="0.25">
      <c r="A322" s="1">
        <v>321</v>
      </c>
      <c r="B322" s="6"/>
      <c r="D322" s="1" t="e">
        <f t="shared" si="103"/>
        <v>#VALUE!</v>
      </c>
      <c r="E322" s="1" t="e">
        <f t="shared" si="104"/>
        <v>#VALUE!</v>
      </c>
      <c r="F322" s="1" t="e">
        <f>AVERAGE($E$2:E322)</f>
        <v>#VALUE!</v>
      </c>
      <c r="G322" s="1" t="e">
        <f t="shared" si="96"/>
        <v>#VALUE!</v>
      </c>
      <c r="H322" s="1" t="e">
        <f t="shared" si="97"/>
        <v>#VALUE!</v>
      </c>
      <c r="I322" s="1" t="e">
        <f>AVERAGE($D$2:D322)</f>
        <v>#VALUE!</v>
      </c>
      <c r="J322" s="1" t="e">
        <f t="shared" si="98"/>
        <v>#VALUE!</v>
      </c>
      <c r="K322" s="4" t="e" cm="1">
        <f t="array" ref="K322">_xlfn.IFS(J322&gt;60, J322-60, J322&lt;60, J322, J322=60, 0)</f>
        <v>#VALUE!</v>
      </c>
      <c r="L322" s="1" t="e">
        <f t="shared" si="99"/>
        <v>#VALUE!</v>
      </c>
      <c r="M322" s="3" t="e">
        <f t="shared" si="100"/>
        <v>#VALUE!</v>
      </c>
      <c r="N322" s="1" t="e">
        <f t="shared" si="101"/>
        <v>#VALUE!</v>
      </c>
      <c r="O322" s="2" t="str">
        <f t="shared" si="102"/>
        <v/>
      </c>
      <c r="P322" s="1" t="str">
        <f t="shared" si="95"/>
        <v/>
      </c>
      <c r="Q322" s="47" t="str">
        <f>IF(COUNTA(C322)=1,(Table1[[#This Row],[min]]+(Table1[[#This Row],[sec]]/60))/1440, "")</f>
        <v/>
      </c>
    </row>
    <row r="323" spans="1:17" x14ac:dyDescent="0.25">
      <c r="A323" s="1">
        <v>322</v>
      </c>
      <c r="B323" s="6"/>
      <c r="D323" s="1" t="e">
        <f t="shared" si="103"/>
        <v>#VALUE!</v>
      </c>
      <c r="E323" s="1" t="e">
        <f t="shared" si="104"/>
        <v>#VALUE!</v>
      </c>
      <c r="F323" s="1" t="e">
        <f>AVERAGE($E$2:E323)</f>
        <v>#VALUE!</v>
      </c>
      <c r="G323" s="1" t="e">
        <f t="shared" si="96"/>
        <v>#VALUE!</v>
      </c>
      <c r="H323" s="1" t="e">
        <f t="shared" si="97"/>
        <v>#VALUE!</v>
      </c>
      <c r="I323" s="1" t="e">
        <f>AVERAGE($D$2:D323)</f>
        <v>#VALUE!</v>
      </c>
      <c r="J323" s="1" t="e">
        <f t="shared" si="98"/>
        <v>#VALUE!</v>
      </c>
      <c r="K323" s="4" t="e" cm="1">
        <f t="array" ref="K323">_xlfn.IFS(J323&gt;60, J323-60, J323&lt;60, J323, J323=60, 0)</f>
        <v>#VALUE!</v>
      </c>
      <c r="L323" s="1" t="e">
        <f t="shared" si="99"/>
        <v>#VALUE!</v>
      </c>
      <c r="M323" s="3" t="e">
        <f t="shared" si="100"/>
        <v>#VALUE!</v>
      </c>
      <c r="N323" s="1" t="e">
        <f t="shared" si="101"/>
        <v>#VALUE!</v>
      </c>
      <c r="O323" s="2" t="str">
        <f t="shared" si="102"/>
        <v/>
      </c>
      <c r="P323" s="1" t="str">
        <f t="shared" si="95"/>
        <v/>
      </c>
      <c r="Q323" s="47" t="str">
        <f>IF(COUNTA(C323)=1,(Table1[[#This Row],[min]]+(Table1[[#This Row],[sec]]/60))/1440, "")</f>
        <v/>
      </c>
    </row>
    <row r="324" spans="1:17" x14ac:dyDescent="0.25">
      <c r="A324" s="1">
        <v>323</v>
      </c>
      <c r="B324" s="6"/>
      <c r="D324" s="1" t="e">
        <f t="shared" si="103"/>
        <v>#VALUE!</v>
      </c>
      <c r="E324" s="1" t="e">
        <f t="shared" si="104"/>
        <v>#VALUE!</v>
      </c>
      <c r="F324" s="1" t="e">
        <f>AVERAGE($E$2:E324)</f>
        <v>#VALUE!</v>
      </c>
      <c r="G324" s="1" t="e">
        <f t="shared" si="96"/>
        <v>#VALUE!</v>
      </c>
      <c r="H324" s="1" t="e">
        <f t="shared" si="97"/>
        <v>#VALUE!</v>
      </c>
      <c r="I324" s="1" t="e">
        <f>AVERAGE($D$2:D324)</f>
        <v>#VALUE!</v>
      </c>
      <c r="J324" s="1" t="e">
        <f t="shared" si="98"/>
        <v>#VALUE!</v>
      </c>
      <c r="K324" s="4" t="e" cm="1">
        <f t="array" ref="K324">_xlfn.IFS(J324&gt;60, J324-60, J324&lt;60, J324, J324=60, 0)</f>
        <v>#VALUE!</v>
      </c>
      <c r="L324" s="1" t="e">
        <f t="shared" si="99"/>
        <v>#VALUE!</v>
      </c>
      <c r="M324" s="3" t="e">
        <f t="shared" si="100"/>
        <v>#VALUE!</v>
      </c>
      <c r="N324" s="1" t="e">
        <f t="shared" si="101"/>
        <v>#VALUE!</v>
      </c>
      <c r="O324" s="2" t="str">
        <f t="shared" si="102"/>
        <v/>
      </c>
      <c r="P324" s="1" t="str">
        <f t="shared" si="95"/>
        <v/>
      </c>
      <c r="Q324" s="47" t="str">
        <f>IF(COUNTA(C324)=1,(Table1[[#This Row],[min]]+(Table1[[#This Row],[sec]]/60))/1440, "")</f>
        <v/>
      </c>
    </row>
    <row r="325" spans="1:17" x14ac:dyDescent="0.25">
      <c r="A325" s="1">
        <v>324</v>
      </c>
      <c r="B325" s="6"/>
      <c r="D325" s="1" t="e">
        <f t="shared" si="103"/>
        <v>#VALUE!</v>
      </c>
      <c r="E325" s="1" t="e">
        <f t="shared" si="104"/>
        <v>#VALUE!</v>
      </c>
      <c r="F325" s="1" t="e">
        <f>AVERAGE($E$2:E325)</f>
        <v>#VALUE!</v>
      </c>
      <c r="G325" s="1" t="e">
        <f t="shared" si="96"/>
        <v>#VALUE!</v>
      </c>
      <c r="H325" s="1" t="e">
        <f t="shared" si="97"/>
        <v>#VALUE!</v>
      </c>
      <c r="I325" s="1" t="e">
        <f>AVERAGE($D$2:D325)</f>
        <v>#VALUE!</v>
      </c>
      <c r="J325" s="1" t="e">
        <f t="shared" si="98"/>
        <v>#VALUE!</v>
      </c>
      <c r="K325" s="4" t="e" cm="1">
        <f t="array" ref="K325">_xlfn.IFS(J325&gt;60, J325-60, J325&lt;60, J325, J325=60, 0)</f>
        <v>#VALUE!</v>
      </c>
      <c r="L325" s="1" t="e">
        <f t="shared" si="99"/>
        <v>#VALUE!</v>
      </c>
      <c r="M325" s="3" t="e">
        <f t="shared" si="100"/>
        <v>#VALUE!</v>
      </c>
      <c r="N325" s="1" t="e">
        <f t="shared" si="101"/>
        <v>#VALUE!</v>
      </c>
      <c r="O325" s="2" t="str">
        <f t="shared" si="102"/>
        <v/>
      </c>
      <c r="P325" s="1" t="str">
        <f t="shared" si="95"/>
        <v/>
      </c>
      <c r="Q325" s="47" t="str">
        <f>IF(COUNTA(C325)=1,(Table1[[#This Row],[min]]+(Table1[[#This Row],[sec]]/60))/1440, "")</f>
        <v/>
      </c>
    </row>
    <row r="326" spans="1:17" x14ac:dyDescent="0.25">
      <c r="A326" s="1">
        <v>325</v>
      </c>
      <c r="B326" s="6"/>
      <c r="D326" s="1" t="e">
        <f t="shared" si="103"/>
        <v>#VALUE!</v>
      </c>
      <c r="E326" s="1" t="e">
        <f t="shared" si="104"/>
        <v>#VALUE!</v>
      </c>
      <c r="F326" s="1" t="e">
        <f>AVERAGE($E$2:E326)</f>
        <v>#VALUE!</v>
      </c>
      <c r="G326" s="1" t="e">
        <f t="shared" si="96"/>
        <v>#VALUE!</v>
      </c>
      <c r="H326" s="1" t="e">
        <f t="shared" si="97"/>
        <v>#VALUE!</v>
      </c>
      <c r="I326" s="1" t="e">
        <f>AVERAGE($D$2:D326)</f>
        <v>#VALUE!</v>
      </c>
      <c r="J326" s="1" t="e">
        <f t="shared" si="98"/>
        <v>#VALUE!</v>
      </c>
      <c r="K326" s="4" t="e" cm="1">
        <f t="array" ref="K326">_xlfn.IFS(J326&gt;60, J326-60, J326&lt;60, J326, J326=60, 0)</f>
        <v>#VALUE!</v>
      </c>
      <c r="L326" s="1" t="e">
        <f t="shared" si="99"/>
        <v>#VALUE!</v>
      </c>
      <c r="M326" s="3" t="e">
        <f t="shared" si="100"/>
        <v>#VALUE!</v>
      </c>
      <c r="N326" s="1" t="e">
        <f t="shared" si="101"/>
        <v>#VALUE!</v>
      </c>
      <c r="O326" s="2" t="str">
        <f t="shared" si="102"/>
        <v/>
      </c>
      <c r="P326" s="1" t="str">
        <f t="shared" si="95"/>
        <v/>
      </c>
      <c r="Q326" s="47" t="str">
        <f>IF(COUNTA(C326)=1,(Table1[[#This Row],[min]]+(Table1[[#This Row],[sec]]/60))/1440, "")</f>
        <v/>
      </c>
    </row>
    <row r="327" spans="1:17" x14ac:dyDescent="0.25">
      <c r="A327" s="1">
        <v>326</v>
      </c>
      <c r="B327" s="6"/>
      <c r="D327" s="1" t="e">
        <f t="shared" si="103"/>
        <v>#VALUE!</v>
      </c>
      <c r="E327" s="1" t="e">
        <f t="shared" si="104"/>
        <v>#VALUE!</v>
      </c>
      <c r="F327" s="1" t="e">
        <f>AVERAGE($E$2:E327)</f>
        <v>#VALUE!</v>
      </c>
      <c r="G327" s="1" t="e">
        <f t="shared" si="96"/>
        <v>#VALUE!</v>
      </c>
      <c r="H327" s="1" t="e">
        <f t="shared" si="97"/>
        <v>#VALUE!</v>
      </c>
      <c r="I327" s="1" t="e">
        <f>AVERAGE($D$2:D327)</f>
        <v>#VALUE!</v>
      </c>
      <c r="J327" s="1" t="e">
        <f t="shared" si="98"/>
        <v>#VALUE!</v>
      </c>
      <c r="K327" s="4" t="e" cm="1">
        <f t="array" ref="K327">_xlfn.IFS(J327&gt;60, J327-60, J327&lt;60, J327, J327=60, 0)</f>
        <v>#VALUE!</v>
      </c>
      <c r="L327" s="1" t="e">
        <f t="shared" si="99"/>
        <v>#VALUE!</v>
      </c>
      <c r="M327" s="3" t="e">
        <f t="shared" si="100"/>
        <v>#VALUE!</v>
      </c>
      <c r="N327" s="1" t="e">
        <f t="shared" si="101"/>
        <v>#VALUE!</v>
      </c>
      <c r="O327" s="2" t="str">
        <f t="shared" si="102"/>
        <v/>
      </c>
      <c r="P327" s="1" t="str">
        <f t="shared" si="95"/>
        <v/>
      </c>
      <c r="Q327" s="47" t="str">
        <f>IF(COUNTA(C327)=1,(Table1[[#This Row],[min]]+(Table1[[#This Row],[sec]]/60))/1440, "")</f>
        <v/>
      </c>
    </row>
    <row r="328" spans="1:17" x14ac:dyDescent="0.25">
      <c r="A328" s="1">
        <v>327</v>
      </c>
      <c r="B328" s="6"/>
      <c r="D328" s="1" t="e">
        <f t="shared" si="103"/>
        <v>#VALUE!</v>
      </c>
      <c r="E328" s="1" t="e">
        <f t="shared" si="104"/>
        <v>#VALUE!</v>
      </c>
      <c r="F328" s="1" t="e">
        <f>AVERAGE($E$2:E328)</f>
        <v>#VALUE!</v>
      </c>
      <c r="G328" s="1" t="e">
        <f t="shared" si="96"/>
        <v>#VALUE!</v>
      </c>
      <c r="H328" s="1" t="e">
        <f t="shared" si="97"/>
        <v>#VALUE!</v>
      </c>
      <c r="I328" s="1" t="e">
        <f>AVERAGE($D$2:D328)</f>
        <v>#VALUE!</v>
      </c>
      <c r="J328" s="1" t="e">
        <f t="shared" si="98"/>
        <v>#VALUE!</v>
      </c>
      <c r="K328" s="4" t="e" cm="1">
        <f t="array" ref="K328">_xlfn.IFS(J328&gt;60, J328-60, J328&lt;60, J328, J328=60, 0)</f>
        <v>#VALUE!</v>
      </c>
      <c r="L328" s="1" t="e">
        <f t="shared" si="99"/>
        <v>#VALUE!</v>
      </c>
      <c r="M328" s="3" t="e">
        <f t="shared" si="100"/>
        <v>#VALUE!</v>
      </c>
      <c r="N328" s="1" t="e">
        <f t="shared" si="101"/>
        <v>#VALUE!</v>
      </c>
      <c r="O328" s="2" t="str">
        <f t="shared" si="102"/>
        <v/>
      </c>
      <c r="P328" s="1" t="str">
        <f t="shared" si="95"/>
        <v/>
      </c>
      <c r="Q328" s="47" t="str">
        <f>IF(COUNTA(C328)=1,(Table1[[#This Row],[min]]+(Table1[[#This Row],[sec]]/60))/1440, "")</f>
        <v/>
      </c>
    </row>
    <row r="329" spans="1:17" x14ac:dyDescent="0.25">
      <c r="A329" s="1">
        <v>328</v>
      </c>
      <c r="B329" s="6"/>
      <c r="D329" s="1" t="e">
        <f t="shared" si="103"/>
        <v>#VALUE!</v>
      </c>
      <c r="E329" s="1" t="e">
        <f t="shared" si="104"/>
        <v>#VALUE!</v>
      </c>
      <c r="F329" s="1" t="e">
        <f>AVERAGE($E$2:E329)</f>
        <v>#VALUE!</v>
      </c>
      <c r="G329" s="1" t="e">
        <f t="shared" si="96"/>
        <v>#VALUE!</v>
      </c>
      <c r="H329" s="1" t="e">
        <f t="shared" si="97"/>
        <v>#VALUE!</v>
      </c>
      <c r="I329" s="1" t="e">
        <f>AVERAGE($D$2:D329)</f>
        <v>#VALUE!</v>
      </c>
      <c r="J329" s="1" t="e">
        <f t="shared" si="98"/>
        <v>#VALUE!</v>
      </c>
      <c r="K329" s="4" t="e" cm="1">
        <f t="array" ref="K329">_xlfn.IFS(J329&gt;60, J329-60, J329&lt;60, J329, J329=60, 0)</f>
        <v>#VALUE!</v>
      </c>
      <c r="L329" s="1" t="e">
        <f t="shared" si="99"/>
        <v>#VALUE!</v>
      </c>
      <c r="M329" s="3" t="e">
        <f t="shared" si="100"/>
        <v>#VALUE!</v>
      </c>
      <c r="N329" s="1" t="e">
        <f t="shared" si="101"/>
        <v>#VALUE!</v>
      </c>
      <c r="O329" s="2" t="str">
        <f t="shared" si="102"/>
        <v/>
      </c>
      <c r="P329" s="1" t="str">
        <f t="shared" si="95"/>
        <v/>
      </c>
      <c r="Q329" s="47" t="str">
        <f>IF(COUNTA(C329)=1,(Table1[[#This Row],[min]]+(Table1[[#This Row],[sec]]/60))/1440, "")</f>
        <v/>
      </c>
    </row>
    <row r="330" spans="1:17" x14ac:dyDescent="0.25">
      <c r="A330" s="1">
        <v>329</v>
      </c>
      <c r="B330" s="6"/>
      <c r="D330" s="1" t="e">
        <f t="shared" si="103"/>
        <v>#VALUE!</v>
      </c>
      <c r="E330" s="1" t="e">
        <f t="shared" si="104"/>
        <v>#VALUE!</v>
      </c>
      <c r="F330" s="1" t="e">
        <f>AVERAGE($E$2:E330)</f>
        <v>#VALUE!</v>
      </c>
      <c r="G330" s="1" t="e">
        <f t="shared" si="96"/>
        <v>#VALUE!</v>
      </c>
      <c r="H330" s="1" t="e">
        <f t="shared" si="97"/>
        <v>#VALUE!</v>
      </c>
      <c r="I330" s="1" t="e">
        <f>AVERAGE($D$2:D330)</f>
        <v>#VALUE!</v>
      </c>
      <c r="J330" s="1" t="e">
        <f t="shared" si="98"/>
        <v>#VALUE!</v>
      </c>
      <c r="K330" s="4" t="e" cm="1">
        <f t="array" ref="K330">_xlfn.IFS(J330&gt;60, J330-60, J330&lt;60, J330, J330=60, 0)</f>
        <v>#VALUE!</v>
      </c>
      <c r="L330" s="1" t="e">
        <f t="shared" si="99"/>
        <v>#VALUE!</v>
      </c>
      <c r="M330" s="3" t="e">
        <f t="shared" si="100"/>
        <v>#VALUE!</v>
      </c>
      <c r="N330" s="1" t="e">
        <f t="shared" si="101"/>
        <v>#VALUE!</v>
      </c>
      <c r="O330" s="2" t="str">
        <f t="shared" si="102"/>
        <v/>
      </c>
      <c r="P330" s="1" t="str">
        <f t="shared" si="95"/>
        <v/>
      </c>
      <c r="Q330" s="47" t="str">
        <f>IF(COUNTA(C330)=1,(Table1[[#This Row],[min]]+(Table1[[#This Row],[sec]]/60))/1440, "")</f>
        <v/>
      </c>
    </row>
    <row r="331" spans="1:17" x14ac:dyDescent="0.25">
      <c r="A331" s="1">
        <v>330</v>
      </c>
      <c r="B331" s="6"/>
      <c r="D331" s="1" t="e">
        <f t="shared" si="103"/>
        <v>#VALUE!</v>
      </c>
      <c r="E331" s="1" t="e">
        <f t="shared" si="104"/>
        <v>#VALUE!</v>
      </c>
      <c r="F331" s="1" t="e">
        <f>AVERAGE($E$2:E331)</f>
        <v>#VALUE!</v>
      </c>
      <c r="G331" s="1" t="e">
        <f t="shared" si="96"/>
        <v>#VALUE!</v>
      </c>
      <c r="H331" s="1" t="e">
        <f t="shared" si="97"/>
        <v>#VALUE!</v>
      </c>
      <c r="I331" s="1" t="e">
        <f>AVERAGE($D$2:D331)</f>
        <v>#VALUE!</v>
      </c>
      <c r="J331" s="1" t="e">
        <f t="shared" si="98"/>
        <v>#VALUE!</v>
      </c>
      <c r="K331" s="4" t="e" cm="1">
        <f t="array" ref="K331">_xlfn.IFS(J331&gt;60, J331-60, J331&lt;60, J331, J331=60, 0)</f>
        <v>#VALUE!</v>
      </c>
      <c r="L331" s="1" t="e">
        <f t="shared" si="99"/>
        <v>#VALUE!</v>
      </c>
      <c r="M331" s="3" t="e">
        <f t="shared" si="100"/>
        <v>#VALUE!</v>
      </c>
      <c r="N331" s="1" t="e">
        <f t="shared" si="101"/>
        <v>#VALUE!</v>
      </c>
      <c r="O331" s="2" t="str">
        <f t="shared" si="102"/>
        <v/>
      </c>
      <c r="P331" s="1" t="str">
        <f t="shared" si="95"/>
        <v/>
      </c>
      <c r="Q331" s="47" t="str">
        <f>IF(COUNTA(C331)=1,(Table1[[#This Row],[min]]+(Table1[[#This Row],[sec]]/60))/1440, "")</f>
        <v/>
      </c>
    </row>
    <row r="332" spans="1:17" x14ac:dyDescent="0.25">
      <c r="A332" s="1">
        <v>331</v>
      </c>
      <c r="B332" s="6"/>
      <c r="D332" s="1" t="e">
        <f t="shared" si="103"/>
        <v>#VALUE!</v>
      </c>
      <c r="E332" s="1" t="e">
        <f t="shared" si="104"/>
        <v>#VALUE!</v>
      </c>
      <c r="F332" s="1" t="e">
        <f>AVERAGE($E$2:E332)</f>
        <v>#VALUE!</v>
      </c>
      <c r="G332" s="1" t="e">
        <f t="shared" si="96"/>
        <v>#VALUE!</v>
      </c>
      <c r="H332" s="1" t="e">
        <f t="shared" si="97"/>
        <v>#VALUE!</v>
      </c>
      <c r="I332" s="1" t="e">
        <f>AVERAGE($D$2:D332)</f>
        <v>#VALUE!</v>
      </c>
      <c r="J332" s="1" t="e">
        <f t="shared" si="98"/>
        <v>#VALUE!</v>
      </c>
      <c r="K332" s="4" t="e" cm="1">
        <f t="array" ref="K332">_xlfn.IFS(J332&gt;60, J332-60, J332&lt;60, J332, J332=60, 0)</f>
        <v>#VALUE!</v>
      </c>
      <c r="L332" s="1" t="e">
        <f t="shared" si="99"/>
        <v>#VALUE!</v>
      </c>
      <c r="M332" s="3" t="e">
        <f t="shared" si="100"/>
        <v>#VALUE!</v>
      </c>
      <c r="N332" s="1" t="e">
        <f t="shared" si="101"/>
        <v>#VALUE!</v>
      </c>
      <c r="O332" s="2" t="str">
        <f t="shared" si="102"/>
        <v/>
      </c>
      <c r="P332" s="1" t="str">
        <f t="shared" si="95"/>
        <v/>
      </c>
      <c r="Q332" s="47" t="str">
        <f>IF(COUNTA(C332)=1,(Table1[[#This Row],[min]]+(Table1[[#This Row],[sec]]/60))/1440, "")</f>
        <v/>
      </c>
    </row>
    <row r="333" spans="1:17" x14ac:dyDescent="0.25">
      <c r="A333" s="1">
        <v>332</v>
      </c>
      <c r="B333" s="6"/>
      <c r="D333" s="1" t="e">
        <f t="shared" si="103"/>
        <v>#VALUE!</v>
      </c>
      <c r="E333" s="1" t="e">
        <f t="shared" si="104"/>
        <v>#VALUE!</v>
      </c>
      <c r="F333" s="1" t="e">
        <f>AVERAGE($E$2:E333)</f>
        <v>#VALUE!</v>
      </c>
      <c r="G333" s="1" t="e">
        <f t="shared" si="96"/>
        <v>#VALUE!</v>
      </c>
      <c r="H333" s="1" t="e">
        <f t="shared" si="97"/>
        <v>#VALUE!</v>
      </c>
      <c r="I333" s="1" t="e">
        <f>AVERAGE($D$2:D333)</f>
        <v>#VALUE!</v>
      </c>
      <c r="J333" s="1" t="e">
        <f t="shared" si="98"/>
        <v>#VALUE!</v>
      </c>
      <c r="K333" s="4" t="e" cm="1">
        <f t="array" ref="K333">_xlfn.IFS(J333&gt;60, J333-60, J333&lt;60, J333, J333=60, 0)</f>
        <v>#VALUE!</v>
      </c>
      <c r="L333" s="1" t="e">
        <f t="shared" si="99"/>
        <v>#VALUE!</v>
      </c>
      <c r="M333" s="3" t="e">
        <f t="shared" si="100"/>
        <v>#VALUE!</v>
      </c>
      <c r="N333" s="1" t="e">
        <f t="shared" si="101"/>
        <v>#VALUE!</v>
      </c>
      <c r="O333" s="2" t="str">
        <f t="shared" si="102"/>
        <v/>
      </c>
      <c r="P333" s="1" t="str">
        <f t="shared" si="95"/>
        <v/>
      </c>
      <c r="Q333" s="47" t="str">
        <f>IF(COUNTA(C333)=1,(Table1[[#This Row],[min]]+(Table1[[#This Row],[sec]]/60))/1440, "")</f>
        <v/>
      </c>
    </row>
    <row r="334" spans="1:17" x14ac:dyDescent="0.25">
      <c r="A334" s="1">
        <v>333</v>
      </c>
      <c r="B334" s="6"/>
      <c r="D334" s="1" t="e">
        <f t="shared" si="103"/>
        <v>#VALUE!</v>
      </c>
      <c r="E334" s="1" t="e">
        <f t="shared" si="104"/>
        <v>#VALUE!</v>
      </c>
      <c r="F334" s="1" t="e">
        <f>AVERAGE($E$2:E334)</f>
        <v>#VALUE!</v>
      </c>
      <c r="G334" s="1" t="e">
        <f t="shared" si="96"/>
        <v>#VALUE!</v>
      </c>
      <c r="H334" s="1" t="e">
        <f t="shared" si="97"/>
        <v>#VALUE!</v>
      </c>
      <c r="I334" s="1" t="e">
        <f>AVERAGE($D$2:D334)</f>
        <v>#VALUE!</v>
      </c>
      <c r="J334" s="1" t="e">
        <f t="shared" si="98"/>
        <v>#VALUE!</v>
      </c>
      <c r="K334" s="4" t="e" cm="1">
        <f t="array" ref="K334">_xlfn.IFS(J334&gt;60, J334-60, J334&lt;60, J334, J334=60, 0)</f>
        <v>#VALUE!</v>
      </c>
      <c r="L334" s="1" t="e">
        <f t="shared" si="99"/>
        <v>#VALUE!</v>
      </c>
      <c r="M334" s="3" t="e">
        <f t="shared" si="100"/>
        <v>#VALUE!</v>
      </c>
      <c r="N334" s="1" t="e">
        <f t="shared" si="101"/>
        <v>#VALUE!</v>
      </c>
      <c r="O334" s="2" t="str">
        <f t="shared" si="102"/>
        <v/>
      </c>
      <c r="P334" s="1" t="str">
        <f t="shared" si="95"/>
        <v/>
      </c>
      <c r="Q334" s="47" t="str">
        <f>IF(COUNTA(C334)=1,(Table1[[#This Row],[min]]+(Table1[[#This Row],[sec]]/60))/1440, "")</f>
        <v/>
      </c>
    </row>
    <row r="335" spans="1:17" x14ac:dyDescent="0.25">
      <c r="A335" s="1">
        <v>334</v>
      </c>
      <c r="B335" s="6"/>
      <c r="D335" s="1" t="e">
        <f t="shared" si="103"/>
        <v>#VALUE!</v>
      </c>
      <c r="E335" s="1" t="e">
        <f t="shared" si="104"/>
        <v>#VALUE!</v>
      </c>
      <c r="F335" s="1" t="e">
        <f>AVERAGE($E$2:E335)</f>
        <v>#VALUE!</v>
      </c>
      <c r="G335" s="1" t="e">
        <f t="shared" si="96"/>
        <v>#VALUE!</v>
      </c>
      <c r="H335" s="1" t="e">
        <f t="shared" si="97"/>
        <v>#VALUE!</v>
      </c>
      <c r="I335" s="1" t="e">
        <f>AVERAGE($D$2:D335)</f>
        <v>#VALUE!</v>
      </c>
      <c r="J335" s="1" t="e">
        <f t="shared" si="98"/>
        <v>#VALUE!</v>
      </c>
      <c r="K335" s="4" t="e" cm="1">
        <f t="array" ref="K335">_xlfn.IFS(J335&gt;60, J335-60, J335&lt;60, J335, J335=60, 0)</f>
        <v>#VALUE!</v>
      </c>
      <c r="L335" s="1" t="e">
        <f t="shared" si="99"/>
        <v>#VALUE!</v>
      </c>
      <c r="M335" s="3" t="e">
        <f t="shared" si="100"/>
        <v>#VALUE!</v>
      </c>
      <c r="N335" s="1" t="e">
        <f t="shared" si="101"/>
        <v>#VALUE!</v>
      </c>
      <c r="O335" s="2" t="str">
        <f t="shared" si="102"/>
        <v/>
      </c>
      <c r="P335" s="1" t="str">
        <f t="shared" si="95"/>
        <v/>
      </c>
      <c r="Q335" s="47" t="str">
        <f>IF(COUNTA(C335)=1,(Table1[[#This Row],[min]]+(Table1[[#This Row],[sec]]/60))/1440, "")</f>
        <v/>
      </c>
    </row>
    <row r="336" spans="1:17" x14ac:dyDescent="0.25">
      <c r="A336" s="1">
        <v>335</v>
      </c>
      <c r="B336" s="6"/>
      <c r="D336" s="1" t="e">
        <f t="shared" si="103"/>
        <v>#VALUE!</v>
      </c>
      <c r="E336" s="1" t="e">
        <f t="shared" si="104"/>
        <v>#VALUE!</v>
      </c>
      <c r="F336" s="1" t="e">
        <f>AVERAGE($E$2:E336)</f>
        <v>#VALUE!</v>
      </c>
      <c r="G336" s="1" t="e">
        <f t="shared" si="96"/>
        <v>#VALUE!</v>
      </c>
      <c r="H336" s="1" t="e">
        <f t="shared" si="97"/>
        <v>#VALUE!</v>
      </c>
      <c r="I336" s="1" t="e">
        <f>AVERAGE($D$2:D336)</f>
        <v>#VALUE!</v>
      </c>
      <c r="J336" s="1" t="e">
        <f t="shared" si="98"/>
        <v>#VALUE!</v>
      </c>
      <c r="K336" s="4" t="e" cm="1">
        <f t="array" ref="K336">_xlfn.IFS(J336&gt;60, J336-60, J336&lt;60, J336, J336=60, 0)</f>
        <v>#VALUE!</v>
      </c>
      <c r="L336" s="1" t="e">
        <f t="shared" si="99"/>
        <v>#VALUE!</v>
      </c>
      <c r="M336" s="3" t="e">
        <f t="shared" si="100"/>
        <v>#VALUE!</v>
      </c>
      <c r="N336" s="1" t="e">
        <f t="shared" si="101"/>
        <v>#VALUE!</v>
      </c>
      <c r="O336" s="2" t="str">
        <f t="shared" si="102"/>
        <v/>
      </c>
      <c r="P336" s="1" t="str">
        <f t="shared" si="95"/>
        <v/>
      </c>
      <c r="Q336" s="47" t="str">
        <f>IF(COUNTA(C336)=1,(Table1[[#This Row],[min]]+(Table1[[#This Row],[sec]]/60))/1440, "")</f>
        <v/>
      </c>
    </row>
    <row r="337" spans="1:17" x14ac:dyDescent="0.25">
      <c r="A337" s="1">
        <v>336</v>
      </c>
      <c r="B337" s="6"/>
      <c r="D337" s="1" t="e">
        <f t="shared" si="103"/>
        <v>#VALUE!</v>
      </c>
      <c r="E337" s="1" t="e">
        <f t="shared" si="104"/>
        <v>#VALUE!</v>
      </c>
      <c r="F337" s="1" t="e">
        <f>AVERAGE($E$2:E337)</f>
        <v>#VALUE!</v>
      </c>
      <c r="G337" s="1" t="e">
        <f t="shared" si="96"/>
        <v>#VALUE!</v>
      </c>
      <c r="H337" s="1" t="e">
        <f t="shared" si="97"/>
        <v>#VALUE!</v>
      </c>
      <c r="I337" s="1" t="e">
        <f>AVERAGE($D$2:D337)</f>
        <v>#VALUE!</v>
      </c>
      <c r="J337" s="1" t="e">
        <f t="shared" si="98"/>
        <v>#VALUE!</v>
      </c>
      <c r="K337" s="4" t="e" cm="1">
        <f t="array" ref="K337">_xlfn.IFS(J337&gt;60, J337-60, J337&lt;60, J337, J337=60, 0)</f>
        <v>#VALUE!</v>
      </c>
      <c r="L337" s="1" t="e">
        <f t="shared" si="99"/>
        <v>#VALUE!</v>
      </c>
      <c r="M337" s="3" t="e">
        <f t="shared" si="100"/>
        <v>#VALUE!</v>
      </c>
      <c r="N337" s="1" t="e">
        <f t="shared" si="101"/>
        <v>#VALUE!</v>
      </c>
      <c r="O337" s="2" t="str">
        <f t="shared" si="102"/>
        <v/>
      </c>
      <c r="P337" s="1" t="str">
        <f t="shared" si="95"/>
        <v/>
      </c>
      <c r="Q337" s="47" t="str">
        <f>IF(COUNTA(C337)=1,(Table1[[#This Row],[min]]+(Table1[[#This Row],[sec]]/60))/1440, "")</f>
        <v/>
      </c>
    </row>
    <row r="338" spans="1:17" x14ac:dyDescent="0.25">
      <c r="A338" s="1">
        <v>337</v>
      </c>
      <c r="B338" s="6"/>
      <c r="D338" s="1" t="e">
        <f t="shared" si="103"/>
        <v>#VALUE!</v>
      </c>
      <c r="E338" s="1" t="e">
        <f t="shared" si="104"/>
        <v>#VALUE!</v>
      </c>
      <c r="F338" s="1" t="e">
        <f>AVERAGE($E$2:E338)</f>
        <v>#VALUE!</v>
      </c>
      <c r="G338" s="1" t="e">
        <f t="shared" si="96"/>
        <v>#VALUE!</v>
      </c>
      <c r="H338" s="1" t="e">
        <f t="shared" si="97"/>
        <v>#VALUE!</v>
      </c>
      <c r="I338" s="1" t="e">
        <f>AVERAGE($D$2:D338)</f>
        <v>#VALUE!</v>
      </c>
      <c r="J338" s="1" t="e">
        <f t="shared" si="98"/>
        <v>#VALUE!</v>
      </c>
      <c r="K338" s="4" t="e" cm="1">
        <f t="array" ref="K338">_xlfn.IFS(J338&gt;60, J338-60, J338&lt;60, J338, J338=60, 0)</f>
        <v>#VALUE!</v>
      </c>
      <c r="L338" s="1" t="e">
        <f t="shared" si="99"/>
        <v>#VALUE!</v>
      </c>
      <c r="M338" s="3" t="e">
        <f t="shared" si="100"/>
        <v>#VALUE!</v>
      </c>
      <c r="N338" s="1" t="e">
        <f t="shared" si="101"/>
        <v>#VALUE!</v>
      </c>
      <c r="O338" s="2" t="str">
        <f t="shared" si="102"/>
        <v/>
      </c>
      <c r="P338" s="1" t="str">
        <f t="shared" si="95"/>
        <v/>
      </c>
      <c r="Q338" s="47" t="str">
        <f>IF(COUNTA(C338)=1,(Table1[[#This Row],[min]]+(Table1[[#This Row],[sec]]/60))/1440, "")</f>
        <v/>
      </c>
    </row>
    <row r="339" spans="1:17" x14ac:dyDescent="0.25">
      <c r="A339" s="1">
        <v>338</v>
      </c>
      <c r="B339" s="6"/>
      <c r="D339" s="1" t="e">
        <f t="shared" si="103"/>
        <v>#VALUE!</v>
      </c>
      <c r="E339" s="1" t="e">
        <f t="shared" si="104"/>
        <v>#VALUE!</v>
      </c>
      <c r="F339" s="1" t="e">
        <f>AVERAGE($E$2:E339)</f>
        <v>#VALUE!</v>
      </c>
      <c r="G339" s="1" t="e">
        <f t="shared" si="96"/>
        <v>#VALUE!</v>
      </c>
      <c r="H339" s="1" t="e">
        <f t="shared" si="97"/>
        <v>#VALUE!</v>
      </c>
      <c r="I339" s="1" t="e">
        <f>AVERAGE($D$2:D339)</f>
        <v>#VALUE!</v>
      </c>
      <c r="J339" s="1" t="e">
        <f t="shared" si="98"/>
        <v>#VALUE!</v>
      </c>
      <c r="K339" s="4" t="e" cm="1">
        <f t="array" ref="K339">_xlfn.IFS(J339&gt;60, J339-60, J339&lt;60, J339, J339=60, 0)</f>
        <v>#VALUE!</v>
      </c>
      <c r="L339" s="1" t="e">
        <f t="shared" si="99"/>
        <v>#VALUE!</v>
      </c>
      <c r="M339" s="3" t="e">
        <f t="shared" si="100"/>
        <v>#VALUE!</v>
      </c>
      <c r="N339" s="1" t="e">
        <f t="shared" si="101"/>
        <v>#VALUE!</v>
      </c>
      <c r="O339" s="2" t="str">
        <f t="shared" si="102"/>
        <v/>
      </c>
      <c r="P339" s="1" t="str">
        <f t="shared" si="95"/>
        <v/>
      </c>
      <c r="Q339" s="47" t="str">
        <f>IF(COUNTA(C339)=1,(Table1[[#This Row],[min]]+(Table1[[#This Row],[sec]]/60))/1440, "")</f>
        <v/>
      </c>
    </row>
    <row r="340" spans="1:17" x14ac:dyDescent="0.25">
      <c r="A340" s="1">
        <v>339</v>
      </c>
      <c r="B340" s="6"/>
      <c r="D340" s="1" t="e">
        <f t="shared" si="103"/>
        <v>#VALUE!</v>
      </c>
      <c r="E340" s="1" t="e">
        <f t="shared" si="104"/>
        <v>#VALUE!</v>
      </c>
      <c r="F340" s="1" t="e">
        <f>AVERAGE($E$2:E340)</f>
        <v>#VALUE!</v>
      </c>
      <c r="G340" s="1" t="e">
        <f t="shared" si="96"/>
        <v>#VALUE!</v>
      </c>
      <c r="H340" s="1" t="e">
        <f t="shared" si="97"/>
        <v>#VALUE!</v>
      </c>
      <c r="I340" s="1" t="e">
        <f>AVERAGE($D$2:D340)</f>
        <v>#VALUE!</v>
      </c>
      <c r="J340" s="1" t="e">
        <f t="shared" si="98"/>
        <v>#VALUE!</v>
      </c>
      <c r="K340" s="4" t="e" cm="1">
        <f t="array" ref="K340">_xlfn.IFS(J340&gt;60, J340-60, J340&lt;60, J340, J340=60, 0)</f>
        <v>#VALUE!</v>
      </c>
      <c r="L340" s="1" t="e">
        <f t="shared" si="99"/>
        <v>#VALUE!</v>
      </c>
      <c r="M340" s="3" t="e">
        <f t="shared" si="100"/>
        <v>#VALUE!</v>
      </c>
      <c r="N340" s="1" t="e">
        <f t="shared" si="101"/>
        <v>#VALUE!</v>
      </c>
      <c r="O340" s="2" t="str">
        <f t="shared" si="102"/>
        <v/>
      </c>
      <c r="P340" s="1" t="str">
        <f t="shared" si="95"/>
        <v/>
      </c>
      <c r="Q340" s="47" t="str">
        <f>IF(COUNTA(C340)=1,(Table1[[#This Row],[min]]+(Table1[[#This Row],[sec]]/60))/1440, "")</f>
        <v/>
      </c>
    </row>
    <row r="341" spans="1:17" x14ac:dyDescent="0.25">
      <c r="A341" s="1">
        <v>340</v>
      </c>
      <c r="B341" s="6"/>
      <c r="D341" s="1" t="e">
        <f t="shared" si="103"/>
        <v>#VALUE!</v>
      </c>
      <c r="E341" s="1" t="e">
        <f t="shared" si="104"/>
        <v>#VALUE!</v>
      </c>
      <c r="F341" s="1" t="e">
        <f>AVERAGE($E$2:E341)</f>
        <v>#VALUE!</v>
      </c>
      <c r="G341" s="1" t="e">
        <f t="shared" si="96"/>
        <v>#VALUE!</v>
      </c>
      <c r="H341" s="1" t="e">
        <f t="shared" si="97"/>
        <v>#VALUE!</v>
      </c>
      <c r="I341" s="1" t="e">
        <f>AVERAGE($D$2:D341)</f>
        <v>#VALUE!</v>
      </c>
      <c r="J341" s="1" t="e">
        <f t="shared" si="98"/>
        <v>#VALUE!</v>
      </c>
      <c r="K341" s="4" t="e" cm="1">
        <f t="array" ref="K341">_xlfn.IFS(J341&gt;60, J341-60, J341&lt;60, J341, J341=60, 0)</f>
        <v>#VALUE!</v>
      </c>
      <c r="L341" s="1" t="e">
        <f t="shared" si="99"/>
        <v>#VALUE!</v>
      </c>
      <c r="M341" s="3" t="e">
        <f t="shared" si="100"/>
        <v>#VALUE!</v>
      </c>
      <c r="N341" s="1" t="e">
        <f t="shared" si="101"/>
        <v>#VALUE!</v>
      </c>
      <c r="O341" s="2" t="str">
        <f t="shared" si="102"/>
        <v/>
      </c>
      <c r="P341" s="1" t="str">
        <f t="shared" si="95"/>
        <v/>
      </c>
      <c r="Q341" s="47" t="str">
        <f>IF(COUNTA(C341)=1,(Table1[[#This Row],[min]]+(Table1[[#This Row],[sec]]/60))/1440, "")</f>
        <v/>
      </c>
    </row>
    <row r="342" spans="1:17" x14ac:dyDescent="0.25">
      <c r="A342" s="1">
        <v>341</v>
      </c>
      <c r="B342" s="6"/>
      <c r="D342" s="1" t="e">
        <f t="shared" si="103"/>
        <v>#VALUE!</v>
      </c>
      <c r="E342" s="1" t="e">
        <f t="shared" si="104"/>
        <v>#VALUE!</v>
      </c>
      <c r="F342" s="1" t="e">
        <f>AVERAGE($E$2:E342)</f>
        <v>#VALUE!</v>
      </c>
      <c r="G342" s="1" t="e">
        <f t="shared" si="96"/>
        <v>#VALUE!</v>
      </c>
      <c r="H342" s="1" t="e">
        <f t="shared" si="97"/>
        <v>#VALUE!</v>
      </c>
      <c r="I342" s="1" t="e">
        <f>AVERAGE($D$2:D342)</f>
        <v>#VALUE!</v>
      </c>
      <c r="J342" s="1" t="e">
        <f t="shared" si="98"/>
        <v>#VALUE!</v>
      </c>
      <c r="K342" s="4" t="e" cm="1">
        <f t="array" ref="K342">_xlfn.IFS(J342&gt;60, J342-60, J342&lt;60, J342, J342=60, 0)</f>
        <v>#VALUE!</v>
      </c>
      <c r="L342" s="1" t="e">
        <f t="shared" si="99"/>
        <v>#VALUE!</v>
      </c>
      <c r="M342" s="3" t="e">
        <f t="shared" si="100"/>
        <v>#VALUE!</v>
      </c>
      <c r="N342" s="1" t="e">
        <f t="shared" si="101"/>
        <v>#VALUE!</v>
      </c>
      <c r="O342" s="2" t="str">
        <f t="shared" si="102"/>
        <v/>
      </c>
      <c r="P342" s="1" t="str">
        <f t="shared" si="95"/>
        <v/>
      </c>
      <c r="Q342" s="47" t="str">
        <f>IF(COUNTA(C342)=1,(Table1[[#This Row],[min]]+(Table1[[#This Row],[sec]]/60))/1440, "")</f>
        <v/>
      </c>
    </row>
    <row r="343" spans="1:17" x14ac:dyDescent="0.25">
      <c r="A343" s="1">
        <v>342</v>
      </c>
      <c r="B343" s="6"/>
      <c r="D343" s="1" t="e">
        <f t="shared" si="103"/>
        <v>#VALUE!</v>
      </c>
      <c r="E343" s="1" t="e">
        <f t="shared" si="104"/>
        <v>#VALUE!</v>
      </c>
      <c r="F343" s="1" t="e">
        <f>AVERAGE($E$2:E343)</f>
        <v>#VALUE!</v>
      </c>
      <c r="G343" s="1" t="e">
        <f t="shared" si="96"/>
        <v>#VALUE!</v>
      </c>
      <c r="H343" s="1" t="e">
        <f t="shared" si="97"/>
        <v>#VALUE!</v>
      </c>
      <c r="I343" s="1" t="e">
        <f>AVERAGE($D$2:D343)</f>
        <v>#VALUE!</v>
      </c>
      <c r="J343" s="1" t="e">
        <f t="shared" si="98"/>
        <v>#VALUE!</v>
      </c>
      <c r="K343" s="4" t="e" cm="1">
        <f t="array" ref="K343">_xlfn.IFS(J343&gt;60, J343-60, J343&lt;60, J343, J343=60, 0)</f>
        <v>#VALUE!</v>
      </c>
      <c r="L343" s="1" t="e">
        <f t="shared" si="99"/>
        <v>#VALUE!</v>
      </c>
      <c r="M343" s="3" t="e">
        <f t="shared" si="100"/>
        <v>#VALUE!</v>
      </c>
      <c r="N343" s="1" t="e">
        <f t="shared" si="101"/>
        <v>#VALUE!</v>
      </c>
      <c r="O343" s="2" t="str">
        <f t="shared" si="102"/>
        <v/>
      </c>
      <c r="P343" s="1" t="str">
        <f t="shared" si="95"/>
        <v/>
      </c>
      <c r="Q343" s="47" t="str">
        <f>IF(COUNTA(C343)=1,(Table1[[#This Row],[min]]+(Table1[[#This Row],[sec]]/60))/1440, "")</f>
        <v/>
      </c>
    </row>
    <row r="344" spans="1:17" x14ac:dyDescent="0.25">
      <c r="A344" s="1">
        <v>343</v>
      </c>
      <c r="B344" s="6"/>
      <c r="D344" s="1" t="e">
        <f t="shared" si="103"/>
        <v>#VALUE!</v>
      </c>
      <c r="E344" s="1" t="e">
        <f t="shared" si="104"/>
        <v>#VALUE!</v>
      </c>
      <c r="F344" s="1" t="e">
        <f>AVERAGE($E$2:E344)</f>
        <v>#VALUE!</v>
      </c>
      <c r="G344" s="1" t="e">
        <f t="shared" si="96"/>
        <v>#VALUE!</v>
      </c>
      <c r="H344" s="1" t="e">
        <f t="shared" si="97"/>
        <v>#VALUE!</v>
      </c>
      <c r="I344" s="1" t="e">
        <f>AVERAGE($D$2:D344)</f>
        <v>#VALUE!</v>
      </c>
      <c r="J344" s="1" t="e">
        <f t="shared" si="98"/>
        <v>#VALUE!</v>
      </c>
      <c r="K344" s="4" t="e" cm="1">
        <f t="array" ref="K344">_xlfn.IFS(J344&gt;60, J344-60, J344&lt;60, J344, J344=60, 0)</f>
        <v>#VALUE!</v>
      </c>
      <c r="L344" s="1" t="e">
        <f t="shared" si="99"/>
        <v>#VALUE!</v>
      </c>
      <c r="M344" s="3" t="e">
        <f t="shared" si="100"/>
        <v>#VALUE!</v>
      </c>
      <c r="N344" s="1" t="e">
        <f t="shared" si="101"/>
        <v>#VALUE!</v>
      </c>
      <c r="O344" s="2" t="str">
        <f t="shared" si="102"/>
        <v/>
      </c>
      <c r="P344" s="1" t="str">
        <f t="shared" si="95"/>
        <v/>
      </c>
      <c r="Q344" s="47" t="str">
        <f>IF(COUNTA(C344)=1,(Table1[[#This Row],[min]]+(Table1[[#This Row],[sec]]/60))/1440, "")</f>
        <v/>
      </c>
    </row>
    <row r="345" spans="1:17" x14ac:dyDescent="0.25">
      <c r="A345" s="1">
        <v>344</v>
      </c>
      <c r="B345" s="6"/>
      <c r="D345" s="1" t="e">
        <f t="shared" si="103"/>
        <v>#VALUE!</v>
      </c>
      <c r="E345" s="1" t="e">
        <f t="shared" si="104"/>
        <v>#VALUE!</v>
      </c>
      <c r="F345" s="1" t="e">
        <f>AVERAGE($E$2:E345)</f>
        <v>#VALUE!</v>
      </c>
      <c r="G345" s="1" t="e">
        <f t="shared" si="96"/>
        <v>#VALUE!</v>
      </c>
      <c r="H345" s="1" t="e">
        <f t="shared" si="97"/>
        <v>#VALUE!</v>
      </c>
      <c r="I345" s="1" t="e">
        <f>AVERAGE($D$2:D345)</f>
        <v>#VALUE!</v>
      </c>
      <c r="J345" s="1" t="e">
        <f t="shared" si="98"/>
        <v>#VALUE!</v>
      </c>
      <c r="K345" s="4" t="e" cm="1">
        <f t="array" ref="K345">_xlfn.IFS(J345&gt;60, J345-60, J345&lt;60, J345, J345=60, 0)</f>
        <v>#VALUE!</v>
      </c>
      <c r="L345" s="1" t="e">
        <f t="shared" si="99"/>
        <v>#VALUE!</v>
      </c>
      <c r="M345" s="3" t="e">
        <f t="shared" si="100"/>
        <v>#VALUE!</v>
      </c>
      <c r="N345" s="1" t="e">
        <f t="shared" si="101"/>
        <v>#VALUE!</v>
      </c>
      <c r="O345" s="2" t="str">
        <f t="shared" si="102"/>
        <v/>
      </c>
      <c r="P345" s="1" t="str">
        <f t="shared" ref="P345:P349" si="105">IF(COUNTA(B345)=1,TEXT(B345, "mmmm"), "")</f>
        <v/>
      </c>
      <c r="Q345" s="47" t="str">
        <f>IF(COUNTA(C345)=1,(Table1[[#This Row],[min]]+(Table1[[#This Row],[sec]]/60))/1440, "")</f>
        <v/>
      </c>
    </row>
    <row r="346" spans="1:17" x14ac:dyDescent="0.25">
      <c r="A346" s="1">
        <v>345</v>
      </c>
      <c r="B346" s="6"/>
      <c r="D346" s="1" t="e">
        <f t="shared" si="103"/>
        <v>#VALUE!</v>
      </c>
      <c r="E346" s="1" t="e">
        <f t="shared" si="104"/>
        <v>#VALUE!</v>
      </c>
      <c r="F346" s="1" t="e">
        <f>AVERAGE($E$2:E346)</f>
        <v>#VALUE!</v>
      </c>
      <c r="G346" s="1" t="e">
        <f t="shared" si="96"/>
        <v>#VALUE!</v>
      </c>
      <c r="H346" s="1" t="e">
        <f t="shared" si="97"/>
        <v>#VALUE!</v>
      </c>
      <c r="I346" s="1" t="e">
        <f>AVERAGE($D$2:D346)</f>
        <v>#VALUE!</v>
      </c>
      <c r="J346" s="1" t="e">
        <f t="shared" si="98"/>
        <v>#VALUE!</v>
      </c>
      <c r="K346" s="4" t="e" cm="1">
        <f t="array" ref="K346">_xlfn.IFS(J346&gt;60, J346-60, J346&lt;60, J346, J346=60, 0)</f>
        <v>#VALUE!</v>
      </c>
      <c r="L346" s="1" t="e">
        <f t="shared" si="99"/>
        <v>#VALUE!</v>
      </c>
      <c r="M346" s="3" t="e">
        <f t="shared" si="100"/>
        <v>#VALUE!</v>
      </c>
      <c r="N346" s="1" t="e">
        <f t="shared" si="101"/>
        <v>#VALUE!</v>
      </c>
      <c r="O346" s="2" t="str">
        <f t="shared" si="102"/>
        <v/>
      </c>
      <c r="P346" s="1" t="str">
        <f t="shared" si="105"/>
        <v/>
      </c>
      <c r="Q346" s="47" t="str">
        <f>IF(COUNTA(C346)=1,(Table1[[#This Row],[min]]+(Table1[[#This Row],[sec]]/60))/1440, "")</f>
        <v/>
      </c>
    </row>
    <row r="347" spans="1:17" x14ac:dyDescent="0.25">
      <c r="A347" s="1">
        <v>346</v>
      </c>
      <c r="B347" s="6"/>
      <c r="D347" s="1" t="e">
        <f t="shared" si="103"/>
        <v>#VALUE!</v>
      </c>
      <c r="E347" s="1" t="e">
        <f t="shared" si="104"/>
        <v>#VALUE!</v>
      </c>
      <c r="F347" s="1" t="e">
        <f>AVERAGE($E$2:E347)</f>
        <v>#VALUE!</v>
      </c>
      <c r="G347" s="1" t="e">
        <f t="shared" si="96"/>
        <v>#VALUE!</v>
      </c>
      <c r="H347" s="1" t="e">
        <f t="shared" si="97"/>
        <v>#VALUE!</v>
      </c>
      <c r="I347" s="1" t="e">
        <f>AVERAGE($D$2:D347)</f>
        <v>#VALUE!</v>
      </c>
      <c r="J347" s="1" t="e">
        <f t="shared" si="98"/>
        <v>#VALUE!</v>
      </c>
      <c r="K347" s="4" t="e" cm="1">
        <f t="array" ref="K347">_xlfn.IFS(J347&gt;60, J347-60, J347&lt;60, J347, J347=60, 0)</f>
        <v>#VALUE!</v>
      </c>
      <c r="L347" s="1" t="e">
        <f t="shared" si="99"/>
        <v>#VALUE!</v>
      </c>
      <c r="M347" s="3" t="e">
        <f t="shared" si="100"/>
        <v>#VALUE!</v>
      </c>
      <c r="N347" s="1" t="e">
        <f t="shared" si="101"/>
        <v>#VALUE!</v>
      </c>
      <c r="O347" s="2" t="str">
        <f t="shared" si="102"/>
        <v/>
      </c>
      <c r="P347" s="1" t="str">
        <f t="shared" si="105"/>
        <v/>
      </c>
      <c r="Q347" s="47" t="str">
        <f>IF(COUNTA(C347)=1,(Table1[[#This Row],[min]]+(Table1[[#This Row],[sec]]/60))/1440, "")</f>
        <v/>
      </c>
    </row>
    <row r="348" spans="1:17" x14ac:dyDescent="0.25">
      <c r="A348" s="1">
        <v>347</v>
      </c>
      <c r="B348" s="6"/>
      <c r="D348" s="1" t="e">
        <f t="shared" si="103"/>
        <v>#VALUE!</v>
      </c>
      <c r="E348" s="1" t="e">
        <f t="shared" si="104"/>
        <v>#VALUE!</v>
      </c>
      <c r="F348" s="1" t="e">
        <f>AVERAGE($E$2:E348)</f>
        <v>#VALUE!</v>
      </c>
      <c r="G348" s="1" t="e">
        <f t="shared" si="96"/>
        <v>#VALUE!</v>
      </c>
      <c r="H348" s="1" t="e">
        <f t="shared" si="97"/>
        <v>#VALUE!</v>
      </c>
      <c r="I348" s="1" t="e">
        <f>AVERAGE($D$2:D348)</f>
        <v>#VALUE!</v>
      </c>
      <c r="J348" s="1" t="e">
        <f t="shared" si="98"/>
        <v>#VALUE!</v>
      </c>
      <c r="K348" s="4" t="e" cm="1">
        <f t="array" ref="K348">_xlfn.IFS(J348&gt;60, J348-60, J348&lt;60, J348, J348=60, 0)</f>
        <v>#VALUE!</v>
      </c>
      <c r="L348" s="1" t="e">
        <f t="shared" si="99"/>
        <v>#VALUE!</v>
      </c>
      <c r="M348" s="3" t="e">
        <f t="shared" si="100"/>
        <v>#VALUE!</v>
      </c>
      <c r="N348" s="1" t="e">
        <f t="shared" si="101"/>
        <v>#VALUE!</v>
      </c>
      <c r="O348" s="2" t="str">
        <f t="shared" si="102"/>
        <v/>
      </c>
      <c r="P348" s="1" t="str">
        <f t="shared" si="105"/>
        <v/>
      </c>
      <c r="Q348" s="47" t="str">
        <f>IF(COUNTA(C348)=1,(Table1[[#This Row],[min]]+(Table1[[#This Row],[sec]]/60))/1440, "")</f>
        <v/>
      </c>
    </row>
    <row r="349" spans="1:17" x14ac:dyDescent="0.25">
      <c r="A349" s="1">
        <v>348</v>
      </c>
      <c r="B349" s="6"/>
      <c r="D349" s="1" t="e">
        <f t="shared" si="103"/>
        <v>#VALUE!</v>
      </c>
      <c r="E349" s="1" t="e">
        <f t="shared" si="104"/>
        <v>#VALUE!</v>
      </c>
      <c r="F349" s="1" t="e">
        <f>AVERAGE($E$2:E349)</f>
        <v>#VALUE!</v>
      </c>
      <c r="G349" s="1" t="e">
        <f t="shared" si="96"/>
        <v>#VALUE!</v>
      </c>
      <c r="H349" s="1" t="e">
        <f t="shared" si="97"/>
        <v>#VALUE!</v>
      </c>
      <c r="I349" s="1" t="e">
        <f>AVERAGE($D$2:D349)</f>
        <v>#VALUE!</v>
      </c>
      <c r="J349" s="1" t="e">
        <f t="shared" si="98"/>
        <v>#VALUE!</v>
      </c>
      <c r="K349" s="4" t="e" cm="1">
        <f t="array" ref="K349">_xlfn.IFS(J349&gt;60, J349-60, J349&lt;60, J349, J349=60, 0)</f>
        <v>#VALUE!</v>
      </c>
      <c r="L349" s="1" t="e">
        <f t="shared" si="99"/>
        <v>#VALUE!</v>
      </c>
      <c r="M349" s="3" t="e">
        <f t="shared" si="100"/>
        <v>#VALUE!</v>
      </c>
      <c r="N349" s="1" t="e">
        <f t="shared" si="101"/>
        <v>#VALUE!</v>
      </c>
      <c r="O349" s="2" t="str">
        <f t="shared" si="102"/>
        <v/>
      </c>
      <c r="P349" s="1" t="str">
        <f t="shared" si="105"/>
        <v/>
      </c>
      <c r="Q349" s="47" t="str">
        <f>IF(COUNTA(C349)=1,(Table1[[#This Row],[min]]+(Table1[[#This Row],[sec]]/60))/1440, "")</f>
        <v/>
      </c>
    </row>
  </sheetData>
  <phoneticPr fontId="3" type="noConversion"/>
  <conditionalFormatting sqref="O2:O154">
    <cfRule type="expression" dxfId="29" priority="12">
      <formula>B2=_xlfn.MAXIFS($B:$B,$B:$B,"&gt;="&amp;EOMONTH(B2,-1)+1,$B:$B,"&lt;="&amp;EOMONTH(B2,0))</formula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112F-8876-4B62-8712-C28F4CF406A0}">
  <sheetPr codeName="Sheet2"/>
  <dimension ref="A1:D349"/>
  <sheetViews>
    <sheetView workbookViewId="0">
      <selection activeCell="B11" sqref="B11"/>
    </sheetView>
  </sheetViews>
  <sheetFormatPr defaultRowHeight="15" x14ac:dyDescent="0.25"/>
  <cols>
    <col min="1" max="1" width="16.28515625" bestFit="1" customWidth="1"/>
    <col min="2" max="2" width="101.28515625" bestFit="1" customWidth="1"/>
    <col min="3" max="3" width="5.7109375" style="11" bestFit="1" customWidth="1"/>
  </cols>
  <sheetData>
    <row r="1" spans="1:4" ht="21" x14ac:dyDescent="0.35">
      <c r="A1" s="1" t="s">
        <v>14</v>
      </c>
      <c r="B1" s="13" t="s">
        <v>17</v>
      </c>
      <c r="C1" s="12"/>
      <c r="D1" s="15" t="s">
        <v>28</v>
      </c>
    </row>
    <row r="2" spans="1:4" ht="19.5" x14ac:dyDescent="0.25">
      <c r="A2" s="1">
        <v>1</v>
      </c>
      <c r="B2" s="17" t="s">
        <v>13</v>
      </c>
      <c r="C2" s="14" t="s">
        <v>27</v>
      </c>
    </row>
    <row r="3" spans="1:4" ht="19.5" x14ac:dyDescent="0.25">
      <c r="A3" s="1">
        <v>2</v>
      </c>
      <c r="B3" s="17" t="s">
        <v>15</v>
      </c>
      <c r="C3" s="14" t="s">
        <v>27</v>
      </c>
    </row>
    <row r="4" spans="1:4" ht="19.5" x14ac:dyDescent="0.25">
      <c r="A4" s="1">
        <v>3</v>
      </c>
      <c r="B4" s="17" t="s">
        <v>16</v>
      </c>
      <c r="C4" s="14" t="s">
        <v>27</v>
      </c>
    </row>
    <row r="5" spans="1:4" ht="15.75" x14ac:dyDescent="0.25">
      <c r="A5" s="1">
        <v>4</v>
      </c>
      <c r="B5" s="17" t="s">
        <v>19</v>
      </c>
    </row>
    <row r="6" spans="1:4" ht="19.5" x14ac:dyDescent="0.25">
      <c r="A6" s="1">
        <v>5</v>
      </c>
      <c r="B6" s="17" t="s">
        <v>20</v>
      </c>
      <c r="C6" s="14" t="s">
        <v>27</v>
      </c>
    </row>
    <row r="7" spans="1:4" ht="15.75" x14ac:dyDescent="0.25">
      <c r="A7" s="1">
        <v>6</v>
      </c>
      <c r="B7" s="17" t="s">
        <v>21</v>
      </c>
    </row>
    <row r="8" spans="1:4" x14ac:dyDescent="0.25">
      <c r="B8" s="16"/>
    </row>
    <row r="9" spans="1:4" x14ac:dyDescent="0.25">
      <c r="B9" s="16"/>
    </row>
    <row r="10" spans="1:4" x14ac:dyDescent="0.25">
      <c r="B10" s="16"/>
    </row>
    <row r="11" spans="1:4" x14ac:dyDescent="0.25">
      <c r="B11" s="16"/>
    </row>
    <row r="12" spans="1:4" x14ac:dyDescent="0.25">
      <c r="B12" s="16"/>
    </row>
    <row r="13" spans="1:4" x14ac:dyDescent="0.25">
      <c r="B13" s="16"/>
    </row>
    <row r="14" spans="1:4" x14ac:dyDescent="0.25">
      <c r="B14" s="16"/>
    </row>
    <row r="15" spans="1:4" x14ac:dyDescent="0.25">
      <c r="B15" s="16"/>
    </row>
    <row r="16" spans="1:4" x14ac:dyDescent="0.25">
      <c r="B16" s="16"/>
    </row>
    <row r="17" spans="2:2" x14ac:dyDescent="0.25">
      <c r="B17" s="16"/>
    </row>
    <row r="18" spans="2:2" x14ac:dyDescent="0.25">
      <c r="B18" s="16"/>
    </row>
    <row r="19" spans="2:2" x14ac:dyDescent="0.25">
      <c r="B19" s="16"/>
    </row>
    <row r="20" spans="2:2" x14ac:dyDescent="0.25">
      <c r="B20" s="16"/>
    </row>
    <row r="21" spans="2:2" x14ac:dyDescent="0.25">
      <c r="B21" s="16"/>
    </row>
    <row r="22" spans="2:2" x14ac:dyDescent="0.25">
      <c r="B22" s="16"/>
    </row>
    <row r="23" spans="2:2" x14ac:dyDescent="0.25">
      <c r="B23" s="16"/>
    </row>
    <row r="24" spans="2:2" x14ac:dyDescent="0.25">
      <c r="B24" s="16"/>
    </row>
    <row r="25" spans="2:2" x14ac:dyDescent="0.25">
      <c r="B25" s="16"/>
    </row>
    <row r="26" spans="2:2" x14ac:dyDescent="0.25">
      <c r="B26" s="16"/>
    </row>
    <row r="27" spans="2:2" x14ac:dyDescent="0.25">
      <c r="B27" s="16"/>
    </row>
    <row r="28" spans="2:2" x14ac:dyDescent="0.25">
      <c r="B28" s="16"/>
    </row>
    <row r="29" spans="2:2" x14ac:dyDescent="0.25">
      <c r="B29" s="16"/>
    </row>
    <row r="30" spans="2:2" x14ac:dyDescent="0.25">
      <c r="B30" s="16"/>
    </row>
    <row r="31" spans="2:2" x14ac:dyDescent="0.25">
      <c r="B31" s="16"/>
    </row>
    <row r="32" spans="2:2" x14ac:dyDescent="0.25">
      <c r="B32" s="16"/>
    </row>
    <row r="33" spans="2:2" x14ac:dyDescent="0.25">
      <c r="B33" s="16"/>
    </row>
    <row r="34" spans="2:2" x14ac:dyDescent="0.25">
      <c r="B34" s="16"/>
    </row>
    <row r="35" spans="2:2" x14ac:dyDescent="0.25">
      <c r="B35" s="16"/>
    </row>
    <row r="36" spans="2:2" x14ac:dyDescent="0.25">
      <c r="B36" s="16"/>
    </row>
    <row r="37" spans="2:2" x14ac:dyDescent="0.25">
      <c r="B37" s="16"/>
    </row>
    <row r="38" spans="2:2" x14ac:dyDescent="0.25">
      <c r="B38" s="16"/>
    </row>
    <row r="39" spans="2:2" x14ac:dyDescent="0.25">
      <c r="B39" s="16"/>
    </row>
    <row r="40" spans="2:2" x14ac:dyDescent="0.25">
      <c r="B40" s="16"/>
    </row>
    <row r="41" spans="2:2" x14ac:dyDescent="0.25">
      <c r="B41" s="16"/>
    </row>
    <row r="42" spans="2:2" x14ac:dyDescent="0.25">
      <c r="B42" s="16"/>
    </row>
    <row r="43" spans="2:2" x14ac:dyDescent="0.25">
      <c r="B43" s="16"/>
    </row>
    <row r="44" spans="2:2" x14ac:dyDescent="0.25">
      <c r="B44" s="16"/>
    </row>
    <row r="45" spans="2:2" x14ac:dyDescent="0.25">
      <c r="B45" s="16"/>
    </row>
    <row r="46" spans="2:2" x14ac:dyDescent="0.25">
      <c r="B46" s="16"/>
    </row>
    <row r="47" spans="2:2" x14ac:dyDescent="0.25">
      <c r="B47" s="16"/>
    </row>
    <row r="48" spans="2:2" x14ac:dyDescent="0.25">
      <c r="B48" s="16"/>
    </row>
    <row r="49" spans="2:2" x14ac:dyDescent="0.25">
      <c r="B49" s="16"/>
    </row>
    <row r="50" spans="2:2" x14ac:dyDescent="0.25">
      <c r="B50" s="16"/>
    </row>
    <row r="51" spans="2:2" x14ac:dyDescent="0.25">
      <c r="B51" s="16"/>
    </row>
    <row r="52" spans="2:2" x14ac:dyDescent="0.25">
      <c r="B52" s="16"/>
    </row>
    <row r="53" spans="2:2" x14ac:dyDescent="0.25">
      <c r="B53" s="16"/>
    </row>
    <row r="54" spans="2:2" x14ac:dyDescent="0.25">
      <c r="B54" s="16"/>
    </row>
    <row r="55" spans="2:2" x14ac:dyDescent="0.25">
      <c r="B55" s="16"/>
    </row>
    <row r="56" spans="2:2" x14ac:dyDescent="0.25">
      <c r="B56" s="16"/>
    </row>
    <row r="57" spans="2:2" x14ac:dyDescent="0.25">
      <c r="B57" s="16"/>
    </row>
    <row r="58" spans="2:2" x14ac:dyDescent="0.25">
      <c r="B58" s="16"/>
    </row>
    <row r="59" spans="2:2" x14ac:dyDescent="0.25">
      <c r="B59" s="16"/>
    </row>
    <row r="60" spans="2:2" x14ac:dyDescent="0.25">
      <c r="B60" s="16"/>
    </row>
    <row r="61" spans="2:2" x14ac:dyDescent="0.25">
      <c r="B61" s="16"/>
    </row>
    <row r="62" spans="2:2" x14ac:dyDescent="0.25">
      <c r="B62" s="16"/>
    </row>
    <row r="63" spans="2:2" x14ac:dyDescent="0.25">
      <c r="B63" s="16"/>
    </row>
    <row r="64" spans="2:2" x14ac:dyDescent="0.25">
      <c r="B64" s="16"/>
    </row>
    <row r="65" spans="2:2" x14ac:dyDescent="0.25">
      <c r="B65" s="16"/>
    </row>
    <row r="66" spans="2:2" x14ac:dyDescent="0.25">
      <c r="B66" s="16"/>
    </row>
    <row r="67" spans="2:2" x14ac:dyDescent="0.25">
      <c r="B67" s="16"/>
    </row>
    <row r="68" spans="2:2" x14ac:dyDescent="0.25">
      <c r="B68" s="16"/>
    </row>
    <row r="69" spans="2:2" x14ac:dyDescent="0.25">
      <c r="B69" s="16"/>
    </row>
    <row r="70" spans="2:2" x14ac:dyDescent="0.25">
      <c r="B70" s="16"/>
    </row>
    <row r="71" spans="2:2" x14ac:dyDescent="0.25">
      <c r="B71" s="16"/>
    </row>
    <row r="72" spans="2:2" x14ac:dyDescent="0.25">
      <c r="B72" s="16"/>
    </row>
    <row r="73" spans="2:2" x14ac:dyDescent="0.25">
      <c r="B73" s="16"/>
    </row>
    <row r="74" spans="2:2" x14ac:dyDescent="0.25">
      <c r="B74" s="16"/>
    </row>
    <row r="75" spans="2:2" x14ac:dyDescent="0.25">
      <c r="B75" s="16"/>
    </row>
    <row r="76" spans="2:2" x14ac:dyDescent="0.25">
      <c r="B76" s="16"/>
    </row>
    <row r="77" spans="2:2" x14ac:dyDescent="0.25">
      <c r="B77" s="16"/>
    </row>
    <row r="78" spans="2:2" x14ac:dyDescent="0.25">
      <c r="B78" s="16"/>
    </row>
    <row r="79" spans="2:2" x14ac:dyDescent="0.25">
      <c r="B79" s="16"/>
    </row>
    <row r="80" spans="2:2" x14ac:dyDescent="0.25">
      <c r="B80" s="16"/>
    </row>
    <row r="81" spans="2:2" x14ac:dyDescent="0.25">
      <c r="B81" s="16"/>
    </row>
    <row r="82" spans="2:2" x14ac:dyDescent="0.25">
      <c r="B82" s="16"/>
    </row>
    <row r="83" spans="2:2" x14ac:dyDescent="0.25">
      <c r="B83" s="16"/>
    </row>
    <row r="84" spans="2:2" x14ac:dyDescent="0.25">
      <c r="B84" s="16"/>
    </row>
    <row r="85" spans="2:2" x14ac:dyDescent="0.25">
      <c r="B85" s="16"/>
    </row>
    <row r="86" spans="2:2" x14ac:dyDescent="0.25">
      <c r="B86" s="16"/>
    </row>
    <row r="87" spans="2:2" x14ac:dyDescent="0.25">
      <c r="B87" s="16"/>
    </row>
    <row r="88" spans="2:2" x14ac:dyDescent="0.25">
      <c r="B88" s="16"/>
    </row>
    <row r="89" spans="2:2" x14ac:dyDescent="0.25">
      <c r="B89" s="16"/>
    </row>
    <row r="90" spans="2:2" x14ac:dyDescent="0.25">
      <c r="B90" s="16"/>
    </row>
    <row r="91" spans="2:2" x14ac:dyDescent="0.25">
      <c r="B91" s="16"/>
    </row>
    <row r="92" spans="2:2" x14ac:dyDescent="0.25">
      <c r="B92" s="16"/>
    </row>
    <row r="93" spans="2:2" x14ac:dyDescent="0.25">
      <c r="B93" s="16"/>
    </row>
    <row r="94" spans="2:2" x14ac:dyDescent="0.25">
      <c r="B94" s="16"/>
    </row>
    <row r="95" spans="2:2" x14ac:dyDescent="0.25">
      <c r="B95" s="16"/>
    </row>
    <row r="96" spans="2:2" x14ac:dyDescent="0.25">
      <c r="B96" s="16"/>
    </row>
    <row r="97" spans="2:2" x14ac:dyDescent="0.25">
      <c r="B97" s="16"/>
    </row>
    <row r="98" spans="2:2" x14ac:dyDescent="0.25">
      <c r="B98" s="16"/>
    </row>
    <row r="99" spans="2:2" x14ac:dyDescent="0.25">
      <c r="B99" s="16"/>
    </row>
    <row r="100" spans="2:2" x14ac:dyDescent="0.25">
      <c r="B100" s="16"/>
    </row>
    <row r="101" spans="2:2" x14ac:dyDescent="0.25">
      <c r="B101" s="16"/>
    </row>
    <row r="102" spans="2:2" x14ac:dyDescent="0.25">
      <c r="B102" s="16"/>
    </row>
    <row r="103" spans="2:2" x14ac:dyDescent="0.25">
      <c r="B103" s="16"/>
    </row>
    <row r="104" spans="2:2" x14ac:dyDescent="0.25">
      <c r="B104" s="16"/>
    </row>
    <row r="105" spans="2:2" x14ac:dyDescent="0.25">
      <c r="B105" s="16"/>
    </row>
    <row r="106" spans="2:2" x14ac:dyDescent="0.25">
      <c r="B106" s="16"/>
    </row>
    <row r="107" spans="2:2" x14ac:dyDescent="0.25">
      <c r="B107" s="16"/>
    </row>
    <row r="108" spans="2:2" x14ac:dyDescent="0.25">
      <c r="B108" s="16"/>
    </row>
    <row r="109" spans="2:2" x14ac:dyDescent="0.25">
      <c r="B109" s="16"/>
    </row>
    <row r="110" spans="2:2" x14ac:dyDescent="0.25">
      <c r="B110" s="16"/>
    </row>
    <row r="111" spans="2:2" x14ac:dyDescent="0.25">
      <c r="B111" s="16"/>
    </row>
    <row r="112" spans="2:2" x14ac:dyDescent="0.25">
      <c r="B112" s="16"/>
    </row>
    <row r="113" spans="2:2" x14ac:dyDescent="0.25">
      <c r="B113" s="16"/>
    </row>
    <row r="114" spans="2:2" x14ac:dyDescent="0.25">
      <c r="B114" s="16"/>
    </row>
    <row r="115" spans="2:2" x14ac:dyDescent="0.25">
      <c r="B115" s="16"/>
    </row>
    <row r="116" spans="2:2" x14ac:dyDescent="0.25">
      <c r="B116" s="16"/>
    </row>
    <row r="117" spans="2:2" x14ac:dyDescent="0.25">
      <c r="B117" s="16"/>
    </row>
    <row r="118" spans="2:2" x14ac:dyDescent="0.25">
      <c r="B118" s="16"/>
    </row>
    <row r="119" spans="2:2" x14ac:dyDescent="0.25">
      <c r="B119" s="16"/>
    </row>
    <row r="120" spans="2:2" x14ac:dyDescent="0.25">
      <c r="B120" s="16"/>
    </row>
    <row r="121" spans="2:2" x14ac:dyDescent="0.25">
      <c r="B121" s="16"/>
    </row>
    <row r="122" spans="2:2" x14ac:dyDescent="0.25">
      <c r="B122" s="16"/>
    </row>
    <row r="123" spans="2:2" x14ac:dyDescent="0.25">
      <c r="B123" s="16"/>
    </row>
    <row r="124" spans="2:2" x14ac:dyDescent="0.25">
      <c r="B124" s="16"/>
    </row>
    <row r="125" spans="2:2" x14ac:dyDescent="0.25">
      <c r="B125" s="16"/>
    </row>
    <row r="126" spans="2:2" x14ac:dyDescent="0.25">
      <c r="B126" s="16"/>
    </row>
    <row r="127" spans="2:2" x14ac:dyDescent="0.25">
      <c r="B127" s="16"/>
    </row>
    <row r="128" spans="2:2" x14ac:dyDescent="0.25">
      <c r="B128" s="16"/>
    </row>
    <row r="129" spans="2:2" x14ac:dyDescent="0.25">
      <c r="B129" s="16"/>
    </row>
    <row r="130" spans="2:2" x14ac:dyDescent="0.25">
      <c r="B130" s="16"/>
    </row>
    <row r="131" spans="2:2" x14ac:dyDescent="0.25">
      <c r="B131" s="16"/>
    </row>
    <row r="132" spans="2:2" x14ac:dyDescent="0.25">
      <c r="B132" s="16"/>
    </row>
    <row r="133" spans="2:2" x14ac:dyDescent="0.25">
      <c r="B133" s="16"/>
    </row>
    <row r="134" spans="2:2" x14ac:dyDescent="0.25">
      <c r="B134" s="16"/>
    </row>
    <row r="135" spans="2:2" x14ac:dyDescent="0.25">
      <c r="B135" s="16"/>
    </row>
    <row r="136" spans="2:2" x14ac:dyDescent="0.25">
      <c r="B136" s="16"/>
    </row>
    <row r="137" spans="2:2" x14ac:dyDescent="0.25">
      <c r="B137" s="16"/>
    </row>
    <row r="138" spans="2:2" x14ac:dyDescent="0.25">
      <c r="B138" s="16"/>
    </row>
    <row r="139" spans="2:2" x14ac:dyDescent="0.25">
      <c r="B139" s="16"/>
    </row>
    <row r="140" spans="2:2" x14ac:dyDescent="0.25">
      <c r="B140" s="16"/>
    </row>
    <row r="141" spans="2:2" x14ac:dyDescent="0.25">
      <c r="B141" s="16"/>
    </row>
    <row r="142" spans="2:2" x14ac:dyDescent="0.25">
      <c r="B142" s="16"/>
    </row>
    <row r="143" spans="2:2" x14ac:dyDescent="0.25">
      <c r="B143" s="16"/>
    </row>
    <row r="144" spans="2:2" x14ac:dyDescent="0.25">
      <c r="B144" s="16"/>
    </row>
    <row r="145" spans="2:2" x14ac:dyDescent="0.25">
      <c r="B145" s="16"/>
    </row>
    <row r="146" spans="2:2" x14ac:dyDescent="0.25">
      <c r="B146" s="16"/>
    </row>
    <row r="147" spans="2:2" x14ac:dyDescent="0.25">
      <c r="B147" s="16"/>
    </row>
    <row r="148" spans="2:2" x14ac:dyDescent="0.25">
      <c r="B148" s="16"/>
    </row>
    <row r="149" spans="2:2" x14ac:dyDescent="0.25">
      <c r="B149" s="16"/>
    </row>
    <row r="150" spans="2:2" x14ac:dyDescent="0.25">
      <c r="B150" s="16"/>
    </row>
    <row r="151" spans="2:2" x14ac:dyDescent="0.25">
      <c r="B151" s="16"/>
    </row>
    <row r="152" spans="2:2" x14ac:dyDescent="0.25">
      <c r="B152" s="16"/>
    </row>
    <row r="153" spans="2:2" x14ac:dyDescent="0.25">
      <c r="B153" s="16"/>
    </row>
    <row r="154" spans="2:2" x14ac:dyDescent="0.25">
      <c r="B154" s="16"/>
    </row>
    <row r="155" spans="2:2" x14ac:dyDescent="0.25">
      <c r="B155" s="16"/>
    </row>
    <row r="156" spans="2:2" x14ac:dyDescent="0.25">
      <c r="B156" s="16"/>
    </row>
    <row r="157" spans="2:2" x14ac:dyDescent="0.25">
      <c r="B157" s="16"/>
    </row>
    <row r="158" spans="2:2" x14ac:dyDescent="0.25">
      <c r="B158" s="16"/>
    </row>
    <row r="159" spans="2:2" x14ac:dyDescent="0.25">
      <c r="B159" s="16"/>
    </row>
    <row r="160" spans="2:2" x14ac:dyDescent="0.25">
      <c r="B160" s="16"/>
    </row>
    <row r="161" spans="2:2" x14ac:dyDescent="0.25">
      <c r="B161" s="16"/>
    </row>
    <row r="162" spans="2:2" x14ac:dyDescent="0.25">
      <c r="B162" s="16"/>
    </row>
    <row r="163" spans="2:2" x14ac:dyDescent="0.25">
      <c r="B163" s="16"/>
    </row>
    <row r="164" spans="2:2" x14ac:dyDescent="0.25">
      <c r="B164" s="16"/>
    </row>
    <row r="165" spans="2:2" x14ac:dyDescent="0.25">
      <c r="B165" s="16"/>
    </row>
    <row r="166" spans="2:2" x14ac:dyDescent="0.25">
      <c r="B166" s="16"/>
    </row>
    <row r="167" spans="2:2" x14ac:dyDescent="0.25">
      <c r="B167" s="16"/>
    </row>
    <row r="168" spans="2:2" x14ac:dyDescent="0.25">
      <c r="B168" s="16"/>
    </row>
    <row r="169" spans="2:2" x14ac:dyDescent="0.25">
      <c r="B169" s="16"/>
    </row>
    <row r="170" spans="2:2" x14ac:dyDescent="0.25">
      <c r="B170" s="16"/>
    </row>
    <row r="171" spans="2:2" x14ac:dyDescent="0.25">
      <c r="B171" s="16"/>
    </row>
    <row r="172" spans="2:2" x14ac:dyDescent="0.25">
      <c r="B172" s="16"/>
    </row>
    <row r="173" spans="2:2" x14ac:dyDescent="0.25">
      <c r="B173" s="16"/>
    </row>
    <row r="174" spans="2:2" x14ac:dyDescent="0.25">
      <c r="B174" s="16"/>
    </row>
    <row r="175" spans="2:2" x14ac:dyDescent="0.25">
      <c r="B175" s="16"/>
    </row>
    <row r="176" spans="2:2" x14ac:dyDescent="0.25">
      <c r="B176" s="16"/>
    </row>
    <row r="177" spans="2:2" x14ac:dyDescent="0.25">
      <c r="B177" s="16"/>
    </row>
    <row r="178" spans="2:2" x14ac:dyDescent="0.25">
      <c r="B178" s="16"/>
    </row>
    <row r="179" spans="2:2" x14ac:dyDescent="0.25">
      <c r="B179" s="16"/>
    </row>
    <row r="180" spans="2:2" x14ac:dyDescent="0.25">
      <c r="B180" s="16"/>
    </row>
    <row r="181" spans="2:2" x14ac:dyDescent="0.25">
      <c r="B181" s="16"/>
    </row>
    <row r="182" spans="2:2" x14ac:dyDescent="0.25">
      <c r="B182" s="16"/>
    </row>
    <row r="183" spans="2:2" x14ac:dyDescent="0.25">
      <c r="B183" s="16"/>
    </row>
    <row r="184" spans="2:2" x14ac:dyDescent="0.25">
      <c r="B184" s="16"/>
    </row>
    <row r="185" spans="2:2" x14ac:dyDescent="0.25">
      <c r="B185" s="16"/>
    </row>
    <row r="186" spans="2:2" x14ac:dyDescent="0.25">
      <c r="B186" s="16"/>
    </row>
    <row r="187" spans="2:2" x14ac:dyDescent="0.25">
      <c r="B187" s="16"/>
    </row>
    <row r="188" spans="2:2" x14ac:dyDescent="0.25">
      <c r="B188" s="16"/>
    </row>
    <row r="189" spans="2:2" x14ac:dyDescent="0.25">
      <c r="B189" s="16"/>
    </row>
    <row r="190" spans="2:2" x14ac:dyDescent="0.25">
      <c r="B190" s="16"/>
    </row>
    <row r="191" spans="2:2" x14ac:dyDescent="0.25">
      <c r="B191" s="16"/>
    </row>
    <row r="192" spans="2:2" x14ac:dyDescent="0.25">
      <c r="B192" s="16"/>
    </row>
    <row r="193" spans="2:2" x14ac:dyDescent="0.25">
      <c r="B193" s="16"/>
    </row>
    <row r="194" spans="2:2" x14ac:dyDescent="0.25">
      <c r="B194" s="16"/>
    </row>
    <row r="195" spans="2:2" x14ac:dyDescent="0.25">
      <c r="B195" s="16"/>
    </row>
    <row r="196" spans="2:2" x14ac:dyDescent="0.25">
      <c r="B196" s="16"/>
    </row>
    <row r="197" spans="2:2" x14ac:dyDescent="0.25">
      <c r="B197" s="16"/>
    </row>
    <row r="198" spans="2:2" x14ac:dyDescent="0.25">
      <c r="B198" s="16"/>
    </row>
    <row r="199" spans="2:2" x14ac:dyDescent="0.25">
      <c r="B199" s="16"/>
    </row>
    <row r="200" spans="2:2" x14ac:dyDescent="0.25">
      <c r="B200" s="16"/>
    </row>
    <row r="201" spans="2:2" x14ac:dyDescent="0.25">
      <c r="B201" s="16"/>
    </row>
    <row r="202" spans="2:2" x14ac:dyDescent="0.25">
      <c r="B202" s="16"/>
    </row>
    <row r="203" spans="2:2" x14ac:dyDescent="0.25">
      <c r="B203" s="16"/>
    </row>
    <row r="204" spans="2:2" x14ac:dyDescent="0.25">
      <c r="B204" s="16"/>
    </row>
    <row r="205" spans="2:2" x14ac:dyDescent="0.25">
      <c r="B205" s="16"/>
    </row>
    <row r="206" spans="2:2" x14ac:dyDescent="0.25">
      <c r="B206" s="16"/>
    </row>
    <row r="207" spans="2:2" x14ac:dyDescent="0.25">
      <c r="B207" s="16"/>
    </row>
    <row r="208" spans="2:2" x14ac:dyDescent="0.25">
      <c r="B208" s="16"/>
    </row>
    <row r="209" spans="2:2" x14ac:dyDescent="0.25">
      <c r="B209" s="16"/>
    </row>
    <row r="210" spans="2:2" x14ac:dyDescent="0.25">
      <c r="B210" s="16"/>
    </row>
    <row r="211" spans="2:2" x14ac:dyDescent="0.25">
      <c r="B211" s="16"/>
    </row>
    <row r="212" spans="2:2" x14ac:dyDescent="0.25">
      <c r="B212" s="16"/>
    </row>
    <row r="213" spans="2:2" x14ac:dyDescent="0.25">
      <c r="B213" s="16"/>
    </row>
    <row r="214" spans="2:2" x14ac:dyDescent="0.25">
      <c r="B214" s="16"/>
    </row>
    <row r="215" spans="2:2" x14ac:dyDescent="0.25">
      <c r="B215" s="16"/>
    </row>
    <row r="216" spans="2:2" x14ac:dyDescent="0.25">
      <c r="B216" s="16"/>
    </row>
    <row r="217" spans="2:2" x14ac:dyDescent="0.25">
      <c r="B217" s="16"/>
    </row>
    <row r="218" spans="2:2" x14ac:dyDescent="0.25">
      <c r="B218" s="16"/>
    </row>
    <row r="219" spans="2:2" x14ac:dyDescent="0.25">
      <c r="B219" s="16"/>
    </row>
    <row r="220" spans="2:2" x14ac:dyDescent="0.25">
      <c r="B220" s="16"/>
    </row>
    <row r="221" spans="2:2" x14ac:dyDescent="0.25">
      <c r="B221" s="16"/>
    </row>
    <row r="222" spans="2:2" x14ac:dyDescent="0.25">
      <c r="B222" s="16"/>
    </row>
    <row r="223" spans="2:2" x14ac:dyDescent="0.25">
      <c r="B223" s="16"/>
    </row>
    <row r="224" spans="2:2" x14ac:dyDescent="0.25">
      <c r="B224" s="16"/>
    </row>
    <row r="225" spans="2:2" x14ac:dyDescent="0.25">
      <c r="B225" s="16"/>
    </row>
    <row r="226" spans="2:2" x14ac:dyDescent="0.25">
      <c r="B226" s="16"/>
    </row>
    <row r="227" spans="2:2" x14ac:dyDescent="0.25">
      <c r="B227" s="16"/>
    </row>
    <row r="228" spans="2:2" x14ac:dyDescent="0.25">
      <c r="B228" s="16"/>
    </row>
    <row r="229" spans="2:2" x14ac:dyDescent="0.25">
      <c r="B229" s="16"/>
    </row>
    <row r="230" spans="2:2" x14ac:dyDescent="0.25">
      <c r="B230" s="16"/>
    </row>
    <row r="231" spans="2:2" x14ac:dyDescent="0.25">
      <c r="B231" s="16"/>
    </row>
    <row r="232" spans="2:2" x14ac:dyDescent="0.25">
      <c r="B232" s="16"/>
    </row>
    <row r="233" spans="2:2" x14ac:dyDescent="0.25">
      <c r="B233" s="16"/>
    </row>
    <row r="234" spans="2:2" x14ac:dyDescent="0.25">
      <c r="B234" s="16"/>
    </row>
    <row r="235" spans="2:2" x14ac:dyDescent="0.25">
      <c r="B235" s="16"/>
    </row>
    <row r="236" spans="2:2" x14ac:dyDescent="0.25">
      <c r="B236" s="16"/>
    </row>
    <row r="237" spans="2:2" x14ac:dyDescent="0.25">
      <c r="B237" s="16"/>
    </row>
    <row r="238" spans="2:2" x14ac:dyDescent="0.25">
      <c r="B238" s="16"/>
    </row>
    <row r="239" spans="2:2" x14ac:dyDescent="0.25">
      <c r="B239" s="16"/>
    </row>
    <row r="240" spans="2:2" x14ac:dyDescent="0.25">
      <c r="B240" s="16"/>
    </row>
    <row r="241" spans="2:2" x14ac:dyDescent="0.25">
      <c r="B241" s="16"/>
    </row>
    <row r="242" spans="2:2" x14ac:dyDescent="0.25">
      <c r="B242" s="16"/>
    </row>
    <row r="243" spans="2:2" x14ac:dyDescent="0.25">
      <c r="B243" s="16"/>
    </row>
    <row r="244" spans="2:2" x14ac:dyDescent="0.25">
      <c r="B244" s="16"/>
    </row>
    <row r="245" spans="2:2" x14ac:dyDescent="0.25">
      <c r="B245" s="16"/>
    </row>
    <row r="246" spans="2:2" x14ac:dyDescent="0.25">
      <c r="B246" s="16"/>
    </row>
    <row r="247" spans="2:2" x14ac:dyDescent="0.25">
      <c r="B247" s="16"/>
    </row>
    <row r="248" spans="2:2" x14ac:dyDescent="0.25">
      <c r="B248" s="16"/>
    </row>
    <row r="249" spans="2:2" x14ac:dyDescent="0.25">
      <c r="B249" s="16"/>
    </row>
    <row r="250" spans="2:2" x14ac:dyDescent="0.25">
      <c r="B250" s="16"/>
    </row>
    <row r="251" spans="2:2" x14ac:dyDescent="0.25">
      <c r="B251" s="16"/>
    </row>
    <row r="252" spans="2:2" x14ac:dyDescent="0.25">
      <c r="B252" s="16"/>
    </row>
    <row r="253" spans="2:2" x14ac:dyDescent="0.25">
      <c r="B253" s="16"/>
    </row>
    <row r="254" spans="2:2" x14ac:dyDescent="0.25">
      <c r="B254" s="16"/>
    </row>
    <row r="255" spans="2:2" x14ac:dyDescent="0.25">
      <c r="B255" s="16"/>
    </row>
    <row r="256" spans="2:2" x14ac:dyDescent="0.25">
      <c r="B256" s="16"/>
    </row>
    <row r="257" spans="2:2" x14ac:dyDescent="0.25">
      <c r="B257" s="16"/>
    </row>
    <row r="258" spans="2:2" x14ac:dyDescent="0.25">
      <c r="B258" s="16"/>
    </row>
    <row r="259" spans="2:2" x14ac:dyDescent="0.25">
      <c r="B259" s="16"/>
    </row>
    <row r="260" spans="2:2" x14ac:dyDescent="0.25">
      <c r="B260" s="16"/>
    </row>
    <row r="261" spans="2:2" x14ac:dyDescent="0.25">
      <c r="B261" s="16"/>
    </row>
    <row r="262" spans="2:2" x14ac:dyDescent="0.25">
      <c r="B262" s="16"/>
    </row>
    <row r="263" spans="2:2" x14ac:dyDescent="0.25">
      <c r="B263" s="16"/>
    </row>
    <row r="264" spans="2:2" x14ac:dyDescent="0.25">
      <c r="B264" s="16"/>
    </row>
    <row r="265" spans="2:2" x14ac:dyDescent="0.25">
      <c r="B265" s="16"/>
    </row>
    <row r="266" spans="2:2" x14ac:dyDescent="0.25">
      <c r="B266" s="16"/>
    </row>
    <row r="267" spans="2:2" x14ac:dyDescent="0.25">
      <c r="B267" s="16"/>
    </row>
    <row r="268" spans="2:2" x14ac:dyDescent="0.25">
      <c r="B268" s="16"/>
    </row>
    <row r="269" spans="2:2" x14ac:dyDescent="0.25">
      <c r="B269" s="16"/>
    </row>
    <row r="270" spans="2:2" x14ac:dyDescent="0.25">
      <c r="B270" s="16"/>
    </row>
    <row r="271" spans="2:2" x14ac:dyDescent="0.25">
      <c r="B271" s="16"/>
    </row>
    <row r="272" spans="2:2" x14ac:dyDescent="0.25">
      <c r="B272" s="16"/>
    </row>
    <row r="273" spans="2:2" x14ac:dyDescent="0.25">
      <c r="B273" s="16"/>
    </row>
    <row r="274" spans="2:2" x14ac:dyDescent="0.25">
      <c r="B274" s="16"/>
    </row>
    <row r="275" spans="2:2" x14ac:dyDescent="0.25">
      <c r="B275" s="16"/>
    </row>
    <row r="276" spans="2:2" x14ac:dyDescent="0.25">
      <c r="B276" s="16"/>
    </row>
    <row r="277" spans="2:2" x14ac:dyDescent="0.25">
      <c r="B277" s="16"/>
    </row>
    <row r="278" spans="2:2" x14ac:dyDescent="0.25">
      <c r="B278" s="16"/>
    </row>
    <row r="279" spans="2:2" x14ac:dyDescent="0.25">
      <c r="B279" s="16"/>
    </row>
    <row r="280" spans="2:2" x14ac:dyDescent="0.25">
      <c r="B280" s="16"/>
    </row>
    <row r="281" spans="2:2" x14ac:dyDescent="0.25">
      <c r="B281" s="16"/>
    </row>
    <row r="282" spans="2:2" x14ac:dyDescent="0.25">
      <c r="B282" s="16"/>
    </row>
    <row r="283" spans="2:2" x14ac:dyDescent="0.25">
      <c r="B283" s="16"/>
    </row>
    <row r="284" spans="2:2" x14ac:dyDescent="0.25">
      <c r="B284" s="16"/>
    </row>
    <row r="285" spans="2:2" x14ac:dyDescent="0.25">
      <c r="B285" s="16"/>
    </row>
    <row r="286" spans="2:2" x14ac:dyDescent="0.25">
      <c r="B286" s="16"/>
    </row>
    <row r="287" spans="2:2" x14ac:dyDescent="0.25">
      <c r="B287" s="16"/>
    </row>
    <row r="288" spans="2:2" x14ac:dyDescent="0.25">
      <c r="B288" s="16"/>
    </row>
    <row r="289" spans="2:2" x14ac:dyDescent="0.25">
      <c r="B289" s="16"/>
    </row>
    <row r="290" spans="2:2" x14ac:dyDescent="0.25">
      <c r="B290" s="16"/>
    </row>
    <row r="291" spans="2:2" x14ac:dyDescent="0.25">
      <c r="B291" s="16"/>
    </row>
    <row r="292" spans="2:2" x14ac:dyDescent="0.25">
      <c r="B292" s="16"/>
    </row>
    <row r="293" spans="2:2" x14ac:dyDescent="0.25">
      <c r="B293" s="16"/>
    </row>
    <row r="294" spans="2:2" x14ac:dyDescent="0.25">
      <c r="B294" s="16"/>
    </row>
    <row r="295" spans="2:2" x14ac:dyDescent="0.25">
      <c r="B295" s="16"/>
    </row>
    <row r="296" spans="2:2" x14ac:dyDescent="0.25">
      <c r="B296" s="16"/>
    </row>
    <row r="297" spans="2:2" x14ac:dyDescent="0.25">
      <c r="B297" s="16"/>
    </row>
    <row r="298" spans="2:2" x14ac:dyDescent="0.25">
      <c r="B298" s="16"/>
    </row>
    <row r="299" spans="2:2" x14ac:dyDescent="0.25">
      <c r="B299" s="16"/>
    </row>
    <row r="300" spans="2:2" x14ac:dyDescent="0.25">
      <c r="B300" s="16"/>
    </row>
    <row r="301" spans="2:2" x14ac:dyDescent="0.25">
      <c r="B301" s="16"/>
    </row>
    <row r="302" spans="2:2" x14ac:dyDescent="0.25">
      <c r="B302" s="16"/>
    </row>
    <row r="303" spans="2:2" x14ac:dyDescent="0.25">
      <c r="B303" s="16"/>
    </row>
    <row r="304" spans="2:2" x14ac:dyDescent="0.25">
      <c r="B304" s="16"/>
    </row>
    <row r="305" spans="2:2" x14ac:dyDescent="0.25">
      <c r="B305" s="16"/>
    </row>
    <row r="306" spans="2:2" x14ac:dyDescent="0.25">
      <c r="B306" s="16"/>
    </row>
    <row r="307" spans="2:2" x14ac:dyDescent="0.25">
      <c r="B307" s="16"/>
    </row>
    <row r="308" spans="2:2" x14ac:dyDescent="0.25">
      <c r="B308" s="16"/>
    </row>
    <row r="309" spans="2:2" x14ac:dyDescent="0.25">
      <c r="B309" s="16"/>
    </row>
    <row r="310" spans="2:2" x14ac:dyDescent="0.25">
      <c r="B310" s="16"/>
    </row>
    <row r="311" spans="2:2" x14ac:dyDescent="0.25">
      <c r="B311" s="16"/>
    </row>
    <row r="312" spans="2:2" x14ac:dyDescent="0.25">
      <c r="B312" s="16"/>
    </row>
    <row r="313" spans="2:2" x14ac:dyDescent="0.25">
      <c r="B313" s="16"/>
    </row>
    <row r="314" spans="2:2" x14ac:dyDescent="0.25">
      <c r="B314" s="16"/>
    </row>
    <row r="315" spans="2:2" x14ac:dyDescent="0.25">
      <c r="B315" s="16"/>
    </row>
    <row r="316" spans="2:2" x14ac:dyDescent="0.25">
      <c r="B316" s="16"/>
    </row>
    <row r="317" spans="2:2" x14ac:dyDescent="0.25">
      <c r="B317" s="16"/>
    </row>
    <row r="318" spans="2:2" x14ac:dyDescent="0.25">
      <c r="B318" s="16"/>
    </row>
    <row r="319" spans="2:2" x14ac:dyDescent="0.25">
      <c r="B319" s="16"/>
    </row>
    <row r="320" spans="2:2" x14ac:dyDescent="0.25">
      <c r="B320" s="16"/>
    </row>
    <row r="321" spans="2:2" x14ac:dyDescent="0.25">
      <c r="B321" s="16"/>
    </row>
    <row r="322" spans="2:2" x14ac:dyDescent="0.25">
      <c r="B322" s="16"/>
    </row>
    <row r="323" spans="2:2" x14ac:dyDescent="0.25">
      <c r="B323" s="16"/>
    </row>
    <row r="324" spans="2:2" x14ac:dyDescent="0.25">
      <c r="B324" s="16"/>
    </row>
    <row r="325" spans="2:2" x14ac:dyDescent="0.25">
      <c r="B325" s="16"/>
    </row>
    <row r="326" spans="2:2" x14ac:dyDescent="0.25">
      <c r="B326" s="16"/>
    </row>
    <row r="327" spans="2:2" x14ac:dyDescent="0.25">
      <c r="B327" s="16"/>
    </row>
    <row r="328" spans="2:2" x14ac:dyDescent="0.25">
      <c r="B328" s="16"/>
    </row>
    <row r="329" spans="2:2" x14ac:dyDescent="0.25">
      <c r="B329" s="16"/>
    </row>
    <row r="330" spans="2:2" x14ac:dyDescent="0.25">
      <c r="B330" s="16"/>
    </row>
    <row r="331" spans="2:2" x14ac:dyDescent="0.25">
      <c r="B331" s="16"/>
    </row>
    <row r="332" spans="2:2" x14ac:dyDescent="0.25">
      <c r="B332" s="16"/>
    </row>
    <row r="333" spans="2:2" x14ac:dyDescent="0.25">
      <c r="B333" s="16"/>
    </row>
    <row r="334" spans="2:2" x14ac:dyDescent="0.25">
      <c r="B334" s="16"/>
    </row>
    <row r="335" spans="2:2" x14ac:dyDescent="0.25">
      <c r="B335" s="16"/>
    </row>
    <row r="336" spans="2:2" x14ac:dyDescent="0.25">
      <c r="B336" s="16"/>
    </row>
    <row r="337" spans="2:2" x14ac:dyDescent="0.25">
      <c r="B337" s="16"/>
    </row>
    <row r="338" spans="2:2" x14ac:dyDescent="0.25">
      <c r="B338" s="16"/>
    </row>
    <row r="339" spans="2:2" x14ac:dyDescent="0.25">
      <c r="B339" s="16"/>
    </row>
    <row r="340" spans="2:2" x14ac:dyDescent="0.25">
      <c r="B340" s="16"/>
    </row>
    <row r="341" spans="2:2" x14ac:dyDescent="0.25">
      <c r="B341" s="16"/>
    </row>
    <row r="342" spans="2:2" x14ac:dyDescent="0.25">
      <c r="B342" s="16"/>
    </row>
    <row r="343" spans="2:2" x14ac:dyDescent="0.25">
      <c r="B343" s="16"/>
    </row>
    <row r="344" spans="2:2" x14ac:dyDescent="0.25">
      <c r="B344" s="16"/>
    </row>
    <row r="345" spans="2:2" x14ac:dyDescent="0.25">
      <c r="B345" s="16"/>
    </row>
    <row r="346" spans="2:2" x14ac:dyDescent="0.25">
      <c r="B346" s="16"/>
    </row>
    <row r="347" spans="2:2" x14ac:dyDescent="0.25">
      <c r="B347" s="16"/>
    </row>
    <row r="348" spans="2:2" x14ac:dyDescent="0.25">
      <c r="B348" s="16"/>
    </row>
    <row r="349" spans="2:2" x14ac:dyDescent="0.25">
      <c r="B34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D4C9-73FA-47E2-9A22-0AC7D376E141}">
  <sheetPr codeName="Sheet4"/>
  <dimension ref="A1:I14"/>
  <sheetViews>
    <sheetView workbookViewId="0">
      <selection activeCell="G21" sqref="G21"/>
    </sheetView>
  </sheetViews>
  <sheetFormatPr defaultRowHeight="15" x14ac:dyDescent="0.25"/>
  <cols>
    <col min="1" max="1" width="10.42578125" bestFit="1" customWidth="1"/>
    <col min="2" max="2" width="10.7109375" style="20" bestFit="1" customWidth="1"/>
    <col min="3" max="3" width="18.5703125" customWidth="1"/>
    <col min="4" max="4" width="10" hidden="1" customWidth="1"/>
    <col min="5" max="5" width="17.85546875" style="57" bestFit="1" customWidth="1"/>
    <col min="6" max="6" width="17.7109375" style="57" bestFit="1" customWidth="1"/>
    <col min="7" max="7" width="19" bestFit="1" customWidth="1"/>
    <col min="8" max="8" width="48.85546875" bestFit="1" customWidth="1"/>
    <col min="9" max="9" width="39.85546875" bestFit="1" customWidth="1"/>
  </cols>
  <sheetData>
    <row r="1" spans="1:9" x14ac:dyDescent="0.25">
      <c r="A1" s="44" t="s">
        <v>18</v>
      </c>
      <c r="B1" s="18" t="s">
        <v>47</v>
      </c>
      <c r="C1" s="8" t="s">
        <v>46</v>
      </c>
      <c r="D1" s="7" t="s">
        <v>26</v>
      </c>
      <c r="E1" s="55" t="s">
        <v>48</v>
      </c>
      <c r="F1" s="55" t="s">
        <v>49</v>
      </c>
      <c r="G1" t="s">
        <v>51</v>
      </c>
      <c r="H1" s="21" t="s">
        <v>41</v>
      </c>
      <c r="I1" s="21" t="s">
        <v>40</v>
      </c>
    </row>
    <row r="2" spans="1:9" x14ac:dyDescent="0.25">
      <c r="A2" s="45" t="s">
        <v>22</v>
      </c>
      <c r="B2" s="19">
        <f>COUNTIF(PS!P:P,A2)</f>
        <v>26</v>
      </c>
      <c r="C2" s="9">
        <f>(SUMIF(PS!P:P, A2, PS!D:D) + (SUMIF(PS!P:P, A2, PS!E:E))*60)/(60*B2)</f>
        <v>5.7455128205128201</v>
      </c>
      <c r="D2" s="10">
        <f t="shared" ref="D2:D7" si="0">(C2-VALUE(LEFT(C2,1)))*60</f>
        <v>44.730769230769205</v>
      </c>
      <c r="E2" s="56">
        <f>_xlfn.MINIFS(PSN!K:K, PSN!F:F, A2)</f>
        <v>3.7268518518518514E-3</v>
      </c>
      <c r="F2" s="56">
        <f>_xlfn.MINIFS(PSN!L:L, PSN!F:F, A2)</f>
        <v>4.9537037037037041E-3</v>
      </c>
      <c r="G2" s="70">
        <f>Table3[[#This Row],[Average_5k_time]]/1440</f>
        <v>3.9899394586894584E-3</v>
      </c>
      <c r="H2" s="22"/>
      <c r="I2" s="9"/>
    </row>
    <row r="3" spans="1:9" x14ac:dyDescent="0.25">
      <c r="A3" s="45" t="s">
        <v>23</v>
      </c>
      <c r="B3" s="19">
        <f>COUNTIF(PS!P:P,A3)</f>
        <v>27</v>
      </c>
      <c r="C3" s="9">
        <f>(SUMIF(PS!P:P, A3, PS!D:D) + (SUMIF(PS!P:P, A3, PS!E:E))*60)/(60*B3)</f>
        <v>5.916666666666667</v>
      </c>
      <c r="D3" s="10">
        <f t="shared" si="0"/>
        <v>55.000000000000014</v>
      </c>
      <c r="E3" s="56">
        <f>_xlfn.MINIFS(PSN!K:K, PSN!F:F, A3)</f>
        <v>3.7384259259259263E-3</v>
      </c>
      <c r="F3" s="56">
        <f>_xlfn.MINIFS(PSN!L:L, PSN!F:F, A3)</f>
        <v>4.4560185185185189E-3</v>
      </c>
      <c r="G3" s="70">
        <f>Table3[[#This Row],[Average_5k_time]]/1440</f>
        <v>4.1087962962962962E-3</v>
      </c>
      <c r="H3" s="9">
        <f>(C3-C2)*60</f>
        <v>10.269230769230813</v>
      </c>
      <c r="I3" s="9">
        <f>(C3-$C$2)*60</f>
        <v>10.269230769230813</v>
      </c>
    </row>
    <row r="4" spans="1:9" x14ac:dyDescent="0.25">
      <c r="A4" s="45" t="s">
        <v>24</v>
      </c>
      <c r="B4" s="19">
        <f>COUNTIF(PS!P:P,A4)</f>
        <v>22</v>
      </c>
      <c r="C4" s="9">
        <f>(SUMIF(PS!P:P, A4, PS!D:D) + (SUMIF(PS!P:P, A4, PS!E:E))*60)/(60*B4)</f>
        <v>5.5295454545454543</v>
      </c>
      <c r="D4" s="10">
        <f t="shared" si="0"/>
        <v>31.772727272727259</v>
      </c>
      <c r="E4" s="56">
        <f>_xlfn.MINIFS(PSN!K:K, PSN!F:F, A4)</f>
        <v>3.6342592592592594E-3</v>
      </c>
      <c r="F4" s="56">
        <f>_xlfn.MINIFS(PSN!L:L, PSN!F:F, A4)</f>
        <v>4.0972222222222226E-3</v>
      </c>
      <c r="G4" s="70">
        <f>Table3[[#This Row],[Average_5k_time]]/1440</f>
        <v>3.8399621212121212E-3</v>
      </c>
      <c r="H4" s="9">
        <f>(C4-C3)*60</f>
        <v>-23.227272727272759</v>
      </c>
      <c r="I4" s="9">
        <f>(C4-$C$2)*60</f>
        <v>-12.958041958041946</v>
      </c>
    </row>
    <row r="5" spans="1:9" x14ac:dyDescent="0.25">
      <c r="A5" s="45" t="s">
        <v>25</v>
      </c>
      <c r="B5" s="19">
        <f>COUNTIF(PS!P:P,A5)</f>
        <v>12</v>
      </c>
      <c r="C5" s="9">
        <f>(SUMIF(PS!P:P, A5, PS!D:D) + (SUMIF(PS!P:P, A5, PS!E:E))*60)/(60*B5)</f>
        <v>5.395833333333333</v>
      </c>
      <c r="D5" s="10">
        <f t="shared" si="0"/>
        <v>23.749999999999982</v>
      </c>
      <c r="E5" s="56">
        <f>_xlfn.MINIFS(PSN!K:K, PSN!F:F, A5)</f>
        <v>3.414351851851852E-3</v>
      </c>
      <c r="F5" s="56">
        <f>_xlfn.MINIFS(PSN!L:L, PSN!F:F, A5)</f>
        <v>4.1898148148148146E-3</v>
      </c>
      <c r="G5" s="70">
        <f>Table3[[#This Row],[Average_5k_time]]/1440</f>
        <v>3.7471064814814815E-3</v>
      </c>
      <c r="H5" s="9">
        <f>(C5-C4)*60</f>
        <v>-8.0227272727272769</v>
      </c>
      <c r="I5" s="9">
        <f>(C5-$C$2)*60</f>
        <v>-20.980769230769223</v>
      </c>
    </row>
    <row r="6" spans="1:9" x14ac:dyDescent="0.25">
      <c r="A6" s="45" t="s">
        <v>29</v>
      </c>
      <c r="B6" s="19">
        <f>COUNTIF(PS!P:P,A6)</f>
        <v>19</v>
      </c>
      <c r="C6" s="9">
        <f>(SUMIF(PS!P:P, A6, PS!D:D) + (SUMIF(PS!P:P, A6, PS!E:E))*60)/(60*B6)</f>
        <v>5.5298245614035091</v>
      </c>
      <c r="D6" s="10">
        <f t="shared" si="0"/>
        <v>31.789473684210545</v>
      </c>
      <c r="E6" s="56">
        <f>_xlfn.MINIFS(PSN!K:K, PSN!F:F, A6)</f>
        <v>3.3912037037037036E-3</v>
      </c>
      <c r="F6" s="56">
        <f>_xlfn.MINIFS(PSN!L:L, PSN!F:F, A6)</f>
        <v>4.3749999999999995E-3</v>
      </c>
      <c r="G6" s="70">
        <f>Table3[[#This Row],[Average_5k_time]]/1440</f>
        <v>3.8401559454191037E-3</v>
      </c>
      <c r="H6" s="9">
        <f>(C6-C5)*60</f>
        <v>8.039473684210563</v>
      </c>
      <c r="I6" s="9">
        <f>(C6-$C$2)*60</f>
        <v>-12.94129554655866</v>
      </c>
    </row>
    <row r="7" spans="1:9" x14ac:dyDescent="0.25">
      <c r="A7" s="45" t="s">
        <v>30</v>
      </c>
      <c r="B7" s="19">
        <f>COUNTIF(PS!P:P,A7)</f>
        <v>11</v>
      </c>
      <c r="C7" s="9">
        <f>(SUMIF(PS!P:P, A7, PS!D:D) + (SUMIF(PS!P:P, A7, PS!E:E))*60)/(60*B7)</f>
        <v>5.2696969696969695</v>
      </c>
      <c r="D7" s="10">
        <f t="shared" si="0"/>
        <v>16.181818181818173</v>
      </c>
      <c r="E7" s="56">
        <f>_xlfn.MINIFS(PSN!K:K, PSN!F:F, A7)</f>
        <v>3.425925925925926E-3</v>
      </c>
      <c r="F7" s="56">
        <f>_xlfn.MINIFS(PSN!L:L, PSN!F:F, A7)</f>
        <v>4.0972222222222226E-3</v>
      </c>
      <c r="G7" s="70">
        <f>Table3[[#This Row],[Average_5k_time]]/1440</f>
        <v>3.6595117845117844E-3</v>
      </c>
      <c r="H7" s="9">
        <f>(C7-C6)*60</f>
        <v>-15.607655502392372</v>
      </c>
      <c r="I7" s="9">
        <f>(C7-$C$2)*60</f>
        <v>-28.548951048951032</v>
      </c>
    </row>
    <row r="8" spans="1:9" x14ac:dyDescent="0.25">
      <c r="A8" s="45" t="s">
        <v>31</v>
      </c>
      <c r="G8" s="58"/>
    </row>
    <row r="9" spans="1:9" x14ac:dyDescent="0.25">
      <c r="A9" s="45" t="s">
        <v>32</v>
      </c>
      <c r="G9" s="58"/>
    </row>
    <row r="10" spans="1:9" x14ac:dyDescent="0.25">
      <c r="A10" s="45" t="s">
        <v>33</v>
      </c>
      <c r="G10" s="58"/>
    </row>
    <row r="11" spans="1:9" x14ac:dyDescent="0.25">
      <c r="A11" s="45" t="s">
        <v>34</v>
      </c>
      <c r="G11" s="58"/>
    </row>
    <row r="12" spans="1:9" x14ac:dyDescent="0.25">
      <c r="A12" s="45" t="s">
        <v>35</v>
      </c>
      <c r="G12" s="58"/>
    </row>
    <row r="13" spans="1:9" x14ac:dyDescent="0.25">
      <c r="A13" s="45" t="s">
        <v>36</v>
      </c>
      <c r="G13" s="58"/>
    </row>
    <row r="14" spans="1:9" x14ac:dyDescent="0.25">
      <c r="A14" s="45" t="s">
        <v>22</v>
      </c>
      <c r="G14" s="58"/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5900C48E-8C9A-4740-9957-B0D100A120B5}">
            <x14:iconSet iconSet="3Triangles" reverse="1">
              <x14:cfvo type="percent">
                <xm:f>0</xm:f>
              </x14:cfvo>
              <x14:cfvo type="formula">
                <xm:f>0</xm:f>
              </x14:cfvo>
              <x14:cfvo type="num" gte="0">
                <xm:f>0</xm:f>
              </x14:cfvo>
            </x14:iconSet>
          </x14:cfRule>
          <xm:sqref>H3:H7</xm:sqref>
        </x14:conditionalFormatting>
        <x14:conditionalFormatting xmlns:xm="http://schemas.microsoft.com/office/excel/2006/main">
          <x14:cfRule type="iconSet" priority="2" id="{5CE36615-B27B-4C15-8A33-B3A911DB6573}">
            <x14:iconSet iconSet="3Triangles" reverse="1">
              <x14:cfvo type="percent">
                <xm:f>0</xm:f>
              </x14:cfvo>
              <x14:cfvo type="formula">
                <xm:f>0</xm:f>
              </x14:cfvo>
              <x14:cfvo type="num">
                <xm:f>0</xm:f>
              </x14:cfvo>
            </x14:iconSet>
          </x14:cfRule>
          <x14:cfRule type="iconSet" priority="3" id="{E571D2F3-CE99-4450-87F1-CFC7F67AD1D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I3:I7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Stats (Pivot table)</vt:lpstr>
      <vt:lpstr>PSN</vt:lpstr>
      <vt:lpstr>Graphs</vt:lpstr>
      <vt:lpstr>Running_average_graph</vt:lpstr>
      <vt:lpstr>PS</vt:lpstr>
      <vt:lpstr>Objectives</vt:lpstr>
      <vt:lpstr>Monthly_Analysis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Bilal</cp:lastModifiedBy>
  <dcterms:created xsi:type="dcterms:W3CDTF">2015-06-05T18:17:20Z</dcterms:created>
  <dcterms:modified xsi:type="dcterms:W3CDTF">2026-04-15T05:04:40Z</dcterms:modified>
</cp:coreProperties>
</file>